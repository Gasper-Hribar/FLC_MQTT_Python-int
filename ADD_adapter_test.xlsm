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riba\Desktop\MQTT project\FLC_MQTT_Python-int\"/>
    </mc:Choice>
  </mc:AlternateContent>
  <xr:revisionPtr revIDLastSave="0" documentId="13_ncr:1_{E193F2B3-ABED-42D9-B995-B69071917C51}" xr6:coauthVersionLast="47" xr6:coauthVersionMax="47" xr10:uidLastSave="{00000000-0000-0000-0000-000000000000}"/>
  <bookViews>
    <workbookView xWindow="-27705" yWindow="2400" windowWidth="26100" windowHeight="12645" xr2:uid="{00000000-000D-0000-FFFF-FFFF00000000}"/>
  </bookViews>
  <sheets>
    <sheet name="Sheet1" sheetId="1" r:id="rId1"/>
    <sheet name="Preview" sheetId="2" r:id="rId2"/>
    <sheet name="Conflicts" sheetId="3" r:id="rId3"/>
    <sheet name="Helper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5" i="4" l="1"/>
  <c r="F105" i="4"/>
  <c r="D105" i="4"/>
  <c r="C105" i="4"/>
  <c r="B105" i="4"/>
  <c r="A105" i="4"/>
  <c r="G104" i="4"/>
  <c r="F104" i="4"/>
  <c r="D104" i="4"/>
  <c r="C104" i="4"/>
  <c r="B104" i="4"/>
  <c r="A104" i="4"/>
  <c r="G103" i="4"/>
  <c r="F103" i="4"/>
  <c r="D103" i="4"/>
  <c r="C103" i="4"/>
  <c r="B103" i="4"/>
  <c r="A103" i="4"/>
  <c r="E103" i="4" s="1"/>
  <c r="G102" i="4"/>
  <c r="F102" i="4"/>
  <c r="D102" i="4"/>
  <c r="C102" i="4"/>
  <c r="B102" i="4"/>
  <c r="A102" i="4"/>
  <c r="E102" i="4" s="1"/>
  <c r="G101" i="4"/>
  <c r="F101" i="4"/>
  <c r="D101" i="4"/>
  <c r="C101" i="4"/>
  <c r="B101" i="4"/>
  <c r="A101" i="4"/>
  <c r="E101" i="4" s="1"/>
  <c r="G100" i="4"/>
  <c r="F100" i="4"/>
  <c r="D100" i="4"/>
  <c r="C100" i="4"/>
  <c r="B100" i="4"/>
  <c r="A100" i="4"/>
  <c r="G99" i="4"/>
  <c r="F99" i="4"/>
  <c r="D99" i="4"/>
  <c r="C99" i="4"/>
  <c r="B99" i="4"/>
  <c r="A99" i="4"/>
  <c r="G98" i="4"/>
  <c r="F98" i="4"/>
  <c r="D98" i="4"/>
  <c r="C98" i="4"/>
  <c r="B98" i="4"/>
  <c r="A98" i="4"/>
  <c r="G97" i="4"/>
  <c r="F97" i="4"/>
  <c r="D97" i="4"/>
  <c r="C97" i="4"/>
  <c r="B97" i="4"/>
  <c r="A97" i="4"/>
  <c r="E97" i="4" s="1"/>
  <c r="G96" i="4"/>
  <c r="F96" i="4"/>
  <c r="D96" i="4"/>
  <c r="C96" i="4"/>
  <c r="B96" i="4"/>
  <c r="A96" i="4"/>
  <c r="E96" i="4" s="1"/>
  <c r="G95" i="4"/>
  <c r="F95" i="4"/>
  <c r="D95" i="4"/>
  <c r="C95" i="4"/>
  <c r="B95" i="4"/>
  <c r="A95" i="4"/>
  <c r="E95" i="4" s="1"/>
  <c r="G94" i="4"/>
  <c r="F94" i="4"/>
  <c r="D94" i="4"/>
  <c r="C94" i="4"/>
  <c r="B94" i="4"/>
  <c r="A94" i="4"/>
  <c r="E94" i="4" s="1"/>
  <c r="G93" i="4"/>
  <c r="F93" i="4"/>
  <c r="D93" i="4"/>
  <c r="C93" i="4"/>
  <c r="B93" i="4"/>
  <c r="E93" i="4" s="1"/>
  <c r="A93" i="4"/>
  <c r="G92" i="4"/>
  <c r="F92" i="4"/>
  <c r="D92" i="4"/>
  <c r="C92" i="4"/>
  <c r="B92" i="4"/>
  <c r="A92" i="4"/>
  <c r="E92" i="4" s="1"/>
  <c r="G91" i="4"/>
  <c r="F91" i="4"/>
  <c r="D91" i="4"/>
  <c r="C91" i="4"/>
  <c r="B91" i="4"/>
  <c r="A91" i="4"/>
  <c r="E91" i="4" s="1"/>
  <c r="G90" i="4"/>
  <c r="F90" i="4"/>
  <c r="D90" i="4"/>
  <c r="C90" i="4"/>
  <c r="B90" i="4"/>
  <c r="A90" i="4"/>
  <c r="E90" i="4" s="1"/>
  <c r="G89" i="4"/>
  <c r="F89" i="4"/>
  <c r="E89" i="4"/>
  <c r="D89" i="4"/>
  <c r="C89" i="4"/>
  <c r="B89" i="4"/>
  <c r="A89" i="4"/>
  <c r="G88" i="4"/>
  <c r="F88" i="4"/>
  <c r="D88" i="4"/>
  <c r="C88" i="4"/>
  <c r="B88" i="4"/>
  <c r="A88" i="4"/>
  <c r="E88" i="4" s="1"/>
  <c r="G87" i="4"/>
  <c r="F87" i="4"/>
  <c r="D87" i="4"/>
  <c r="C87" i="4"/>
  <c r="B87" i="4"/>
  <c r="E87" i="4" s="1"/>
  <c r="A87" i="4"/>
  <c r="G86" i="4"/>
  <c r="F86" i="4"/>
  <c r="D86" i="4"/>
  <c r="C86" i="4"/>
  <c r="B86" i="4"/>
  <c r="A86" i="4"/>
  <c r="E86" i="4" s="1"/>
  <c r="G85" i="4"/>
  <c r="F85" i="4"/>
  <c r="D85" i="4"/>
  <c r="C85" i="4"/>
  <c r="B85" i="4"/>
  <c r="A85" i="4"/>
  <c r="E85" i="4" s="1"/>
  <c r="G84" i="4"/>
  <c r="F84" i="4"/>
  <c r="D84" i="4"/>
  <c r="C84" i="4"/>
  <c r="B84" i="4"/>
  <c r="E84" i="4" s="1"/>
  <c r="A84" i="4"/>
  <c r="G83" i="4"/>
  <c r="F83" i="4"/>
  <c r="E83" i="4"/>
  <c r="D83" i="4"/>
  <c r="C83" i="4"/>
  <c r="B83" i="4"/>
  <c r="A83" i="4"/>
  <c r="G82" i="4"/>
  <c r="F82" i="4"/>
  <c r="D82" i="4"/>
  <c r="C82" i="4"/>
  <c r="B82" i="4"/>
  <c r="A82" i="4"/>
  <c r="E82" i="4" s="1"/>
  <c r="G81" i="4"/>
  <c r="F81" i="4"/>
  <c r="D81" i="4"/>
  <c r="C81" i="4"/>
  <c r="B81" i="4"/>
  <c r="E81" i="4" s="1"/>
  <c r="A81" i="4"/>
  <c r="G80" i="4"/>
  <c r="F80" i="4"/>
  <c r="D80" i="4"/>
  <c r="C80" i="4"/>
  <c r="B80" i="4"/>
  <c r="A80" i="4"/>
  <c r="E80" i="4" s="1"/>
  <c r="G79" i="4"/>
  <c r="F79" i="4"/>
  <c r="D79" i="4"/>
  <c r="C79" i="4"/>
  <c r="B79" i="4"/>
  <c r="A79" i="4"/>
  <c r="G78" i="4"/>
  <c r="F78" i="4"/>
  <c r="D78" i="4"/>
  <c r="C78" i="4"/>
  <c r="B78" i="4"/>
  <c r="E78" i="4" s="1"/>
  <c r="A78" i="4"/>
  <c r="G77" i="4"/>
  <c r="F77" i="4"/>
  <c r="D77" i="4"/>
  <c r="C77" i="4"/>
  <c r="B77" i="4"/>
  <c r="A77" i="4"/>
  <c r="E77" i="4" s="1"/>
  <c r="G76" i="4"/>
  <c r="F76" i="4"/>
  <c r="D76" i="4"/>
  <c r="C76" i="4"/>
  <c r="B76" i="4"/>
  <c r="A76" i="4"/>
  <c r="E76" i="4" s="1"/>
  <c r="G75" i="4"/>
  <c r="F75" i="4"/>
  <c r="D75" i="4"/>
  <c r="C75" i="4"/>
  <c r="B75" i="4"/>
  <c r="A75" i="4"/>
  <c r="G74" i="4"/>
  <c r="F74" i="4"/>
  <c r="D74" i="4"/>
  <c r="C74" i="4"/>
  <c r="B74" i="4"/>
  <c r="A74" i="4"/>
  <c r="G73" i="4"/>
  <c r="F73" i="4"/>
  <c r="D73" i="4"/>
  <c r="C73" i="4"/>
  <c r="B73" i="4"/>
  <c r="A73" i="4"/>
  <c r="E73" i="4" s="1"/>
  <c r="G72" i="4"/>
  <c r="F72" i="4"/>
  <c r="D72" i="4"/>
  <c r="C72" i="4"/>
  <c r="B72" i="4"/>
  <c r="A72" i="4"/>
  <c r="E72" i="4" s="1"/>
  <c r="G71" i="4"/>
  <c r="F71" i="4"/>
  <c r="D71" i="4"/>
  <c r="C71" i="4"/>
  <c r="B71" i="4"/>
  <c r="A71" i="4"/>
  <c r="E71" i="4" s="1"/>
  <c r="G70" i="4"/>
  <c r="F70" i="4"/>
  <c r="D70" i="4"/>
  <c r="C70" i="4"/>
  <c r="B70" i="4"/>
  <c r="A70" i="4"/>
  <c r="E70" i="4" s="1"/>
  <c r="G69" i="4"/>
  <c r="F69" i="4"/>
  <c r="D69" i="4"/>
  <c r="C69" i="4"/>
  <c r="B69" i="4"/>
  <c r="A69" i="4"/>
  <c r="G68" i="4"/>
  <c r="F68" i="4"/>
  <c r="D68" i="4"/>
  <c r="C68" i="4"/>
  <c r="B68" i="4"/>
  <c r="A68" i="4"/>
  <c r="E68" i="4" s="1"/>
  <c r="G67" i="4"/>
  <c r="F67" i="4"/>
  <c r="D67" i="4"/>
  <c r="C67" i="4"/>
  <c r="B67" i="4"/>
  <c r="A67" i="4"/>
  <c r="E67" i="4" s="1"/>
  <c r="G66" i="4"/>
  <c r="F66" i="4"/>
  <c r="D66" i="4"/>
  <c r="C66" i="4"/>
  <c r="B66" i="4"/>
  <c r="A66" i="4"/>
  <c r="E66" i="4" s="1"/>
  <c r="G65" i="4"/>
  <c r="F65" i="4"/>
  <c r="D65" i="4"/>
  <c r="C65" i="4"/>
  <c r="B65" i="4"/>
  <c r="A65" i="4"/>
  <c r="E65" i="4" s="1"/>
  <c r="G64" i="4"/>
  <c r="F64" i="4"/>
  <c r="D64" i="4"/>
  <c r="C64" i="4"/>
  <c r="B64" i="4"/>
  <c r="A64" i="4"/>
  <c r="G63" i="4"/>
  <c r="F63" i="4"/>
  <c r="D63" i="4"/>
  <c r="C63" i="4"/>
  <c r="B63" i="4"/>
  <c r="A63" i="4"/>
  <c r="G62" i="4"/>
  <c r="F62" i="4"/>
  <c r="D62" i="4"/>
  <c r="C62" i="4"/>
  <c r="B62" i="4"/>
  <c r="A62" i="4"/>
  <c r="E62" i="4" s="1"/>
  <c r="G61" i="4"/>
  <c r="F61" i="4"/>
  <c r="D61" i="4"/>
  <c r="C61" i="4"/>
  <c r="B61" i="4"/>
  <c r="A61" i="4"/>
  <c r="E61" i="4" s="1"/>
  <c r="G60" i="4"/>
  <c r="F60" i="4"/>
  <c r="E60" i="4"/>
  <c r="D60" i="4"/>
  <c r="C60" i="4"/>
  <c r="B60" i="4"/>
  <c r="A60" i="4"/>
  <c r="G59" i="4"/>
  <c r="F59" i="4"/>
  <c r="E59" i="4"/>
  <c r="D59" i="4"/>
  <c r="C59" i="4"/>
  <c r="B59" i="4"/>
  <c r="A59" i="4"/>
  <c r="G58" i="4"/>
  <c r="F58" i="4"/>
  <c r="D58" i="4"/>
  <c r="C58" i="4"/>
  <c r="B58" i="4"/>
  <c r="A58" i="4"/>
  <c r="E58" i="4" s="1"/>
  <c r="G57" i="4"/>
  <c r="F57" i="4"/>
  <c r="D57" i="4"/>
  <c r="C57" i="4"/>
  <c r="B57" i="4"/>
  <c r="A57" i="4"/>
  <c r="G56" i="4"/>
  <c r="F56" i="4"/>
  <c r="D56" i="4"/>
  <c r="C56" i="4"/>
  <c r="B56" i="4"/>
  <c r="A56" i="4"/>
  <c r="E56" i="4" s="1"/>
  <c r="G55" i="4"/>
  <c r="F55" i="4"/>
  <c r="D55" i="4"/>
  <c r="C55" i="4"/>
  <c r="B55" i="4"/>
  <c r="A55" i="4"/>
  <c r="G54" i="4"/>
  <c r="F54" i="4"/>
  <c r="D54" i="4"/>
  <c r="C54" i="4"/>
  <c r="B54" i="4"/>
  <c r="A54" i="4"/>
  <c r="E54" i="4" s="1"/>
  <c r="G53" i="4"/>
  <c r="F53" i="4"/>
  <c r="E53" i="4"/>
  <c r="D53" i="4"/>
  <c r="C53" i="4"/>
  <c r="B53" i="4"/>
  <c r="A53" i="4"/>
  <c r="G52" i="4"/>
  <c r="F52" i="4"/>
  <c r="D52" i="4"/>
  <c r="C52" i="4"/>
  <c r="B52" i="4"/>
  <c r="A52" i="4"/>
  <c r="E52" i="4" s="1"/>
  <c r="G51" i="4"/>
  <c r="F51" i="4"/>
  <c r="D51" i="4"/>
  <c r="C51" i="4"/>
  <c r="B51" i="4"/>
  <c r="A51" i="4"/>
  <c r="G50" i="4"/>
  <c r="F50" i="4"/>
  <c r="D50" i="4"/>
  <c r="C50" i="4"/>
  <c r="B50" i="4"/>
  <c r="A50" i="4"/>
  <c r="E50" i="4" s="1"/>
  <c r="G49" i="4"/>
  <c r="F49" i="4"/>
  <c r="D49" i="4"/>
  <c r="C49" i="4"/>
  <c r="B49" i="4"/>
  <c r="A49" i="4"/>
  <c r="E49" i="4" s="1"/>
  <c r="G48" i="4"/>
  <c r="F48" i="4"/>
  <c r="D48" i="4"/>
  <c r="C48" i="4"/>
  <c r="B48" i="4"/>
  <c r="A48" i="4"/>
  <c r="E48" i="4" s="1"/>
  <c r="G47" i="4"/>
  <c r="F47" i="4"/>
  <c r="D47" i="4"/>
  <c r="C47" i="4"/>
  <c r="B47" i="4"/>
  <c r="A47" i="4"/>
  <c r="E47" i="4" s="1"/>
  <c r="G46" i="4"/>
  <c r="F46" i="4"/>
  <c r="D46" i="4"/>
  <c r="C46" i="4"/>
  <c r="B46" i="4"/>
  <c r="A46" i="4"/>
  <c r="E46" i="4" s="1"/>
  <c r="G45" i="4"/>
  <c r="F45" i="4"/>
  <c r="D45" i="4"/>
  <c r="C45" i="4"/>
  <c r="B45" i="4"/>
  <c r="E45" i="4" s="1"/>
  <c r="A45" i="4"/>
  <c r="G44" i="4"/>
  <c r="F44" i="4"/>
  <c r="D44" i="4"/>
  <c r="C44" i="4"/>
  <c r="B44" i="4"/>
  <c r="A44" i="4"/>
  <c r="E44" i="4" s="1"/>
  <c r="G43" i="4"/>
  <c r="F43" i="4"/>
  <c r="D43" i="4"/>
  <c r="C43" i="4"/>
  <c r="B43" i="4"/>
  <c r="A43" i="4"/>
  <c r="E43" i="4" s="1"/>
  <c r="G42" i="4"/>
  <c r="F42" i="4"/>
  <c r="D42" i="4"/>
  <c r="C42" i="4"/>
  <c r="B42" i="4"/>
  <c r="A42" i="4"/>
  <c r="E42" i="4" s="1"/>
  <c r="G41" i="4"/>
  <c r="F41" i="4"/>
  <c r="E41" i="4"/>
  <c r="D41" i="4"/>
  <c r="C41" i="4"/>
  <c r="B41" i="4"/>
  <c r="A41" i="4"/>
  <c r="G40" i="4"/>
  <c r="F40" i="4"/>
  <c r="D40" i="4"/>
  <c r="C40" i="4"/>
  <c r="B40" i="4"/>
  <c r="A40" i="4"/>
  <c r="G39" i="4"/>
  <c r="F39" i="4"/>
  <c r="D39" i="4"/>
  <c r="C39" i="4"/>
  <c r="B39" i="4"/>
  <c r="A39" i="4"/>
  <c r="G38" i="4"/>
  <c r="F38" i="4"/>
  <c r="D38" i="4"/>
  <c r="C38" i="4"/>
  <c r="B38" i="4"/>
  <c r="A38" i="4"/>
  <c r="E38" i="4" s="1"/>
  <c r="G37" i="4"/>
  <c r="F37" i="4"/>
  <c r="D37" i="4"/>
  <c r="C37" i="4"/>
  <c r="B37" i="4"/>
  <c r="A37" i="4"/>
  <c r="E37" i="4" s="1"/>
  <c r="G36" i="4"/>
  <c r="F36" i="4"/>
  <c r="E36" i="4"/>
  <c r="D36" i="4"/>
  <c r="C36" i="4"/>
  <c r="B36" i="4"/>
  <c r="A36" i="4"/>
  <c r="G35" i="4"/>
  <c r="F35" i="4"/>
  <c r="D35" i="4"/>
  <c r="C35" i="4"/>
  <c r="B35" i="4"/>
  <c r="A35" i="4"/>
  <c r="E35" i="4" s="1"/>
  <c r="G34" i="4"/>
  <c r="F34" i="4"/>
  <c r="D34" i="4"/>
  <c r="C34" i="4"/>
  <c r="B34" i="4"/>
  <c r="A34" i="4"/>
  <c r="E34" i="4" s="1"/>
  <c r="G33" i="4"/>
  <c r="F33" i="4"/>
  <c r="D33" i="4"/>
  <c r="C33" i="4"/>
  <c r="B33" i="4"/>
  <c r="A33" i="4"/>
  <c r="G32" i="4"/>
  <c r="F32" i="4"/>
  <c r="D32" i="4"/>
  <c r="C32" i="4"/>
  <c r="B32" i="4"/>
  <c r="A32" i="4"/>
  <c r="E32" i="4" s="1"/>
  <c r="G31" i="4"/>
  <c r="F31" i="4"/>
  <c r="D31" i="4"/>
  <c r="C31" i="4"/>
  <c r="B31" i="4"/>
  <c r="A31" i="4"/>
  <c r="G30" i="4"/>
  <c r="F30" i="4"/>
  <c r="D30" i="4"/>
  <c r="C30" i="4"/>
  <c r="B30" i="4"/>
  <c r="A30" i="4"/>
  <c r="G29" i="4"/>
  <c r="F29" i="4"/>
  <c r="D29" i="4"/>
  <c r="C29" i="4"/>
  <c r="B29" i="4"/>
  <c r="A29" i="4"/>
  <c r="E29" i="4" s="1"/>
  <c r="G28" i="4"/>
  <c r="F28" i="4"/>
  <c r="D28" i="4"/>
  <c r="C28" i="4"/>
  <c r="B28" i="4"/>
  <c r="A28" i="4"/>
  <c r="E28" i="4" s="1"/>
  <c r="G27" i="4"/>
  <c r="F27" i="4"/>
  <c r="D27" i="4"/>
  <c r="C27" i="4"/>
  <c r="B27" i="4"/>
  <c r="E27" i="4" s="1"/>
  <c r="A27" i="4"/>
  <c r="G26" i="4"/>
  <c r="F26" i="4"/>
  <c r="D26" i="4"/>
  <c r="C26" i="4"/>
  <c r="B26" i="4"/>
  <c r="A26" i="4"/>
  <c r="E26" i="4" s="1"/>
  <c r="G25" i="4"/>
  <c r="F25" i="4"/>
  <c r="D25" i="4"/>
  <c r="C25" i="4"/>
  <c r="B25" i="4"/>
  <c r="A25" i="4"/>
  <c r="E25" i="4" s="1"/>
  <c r="G24" i="4"/>
  <c r="F24" i="4"/>
  <c r="D24" i="4"/>
  <c r="C24" i="4"/>
  <c r="B24" i="4"/>
  <c r="A24" i="4"/>
  <c r="E24" i="4" s="1"/>
  <c r="G23" i="4"/>
  <c r="F23" i="4"/>
  <c r="D23" i="4"/>
  <c r="C23" i="4"/>
  <c r="B23" i="4"/>
  <c r="A23" i="4"/>
  <c r="E23" i="4" s="1"/>
  <c r="G22" i="4"/>
  <c r="F22" i="4"/>
  <c r="D22" i="4"/>
  <c r="C22" i="4"/>
  <c r="B22" i="4"/>
  <c r="A22" i="4"/>
  <c r="E22" i="4" s="1"/>
  <c r="G21" i="4"/>
  <c r="F21" i="4"/>
  <c r="E21" i="4"/>
  <c r="D21" i="4"/>
  <c r="C21" i="4"/>
  <c r="B21" i="4"/>
  <c r="A21" i="4"/>
  <c r="G20" i="4"/>
  <c r="F20" i="4"/>
  <c r="D20" i="4"/>
  <c r="C20" i="4"/>
  <c r="B20" i="4"/>
  <c r="A20" i="4"/>
  <c r="E20" i="4" s="1"/>
  <c r="G19" i="4"/>
  <c r="F19" i="4"/>
  <c r="D19" i="4"/>
  <c r="C19" i="4"/>
  <c r="B19" i="4"/>
  <c r="A19" i="4"/>
  <c r="G18" i="4"/>
  <c r="F18" i="4"/>
  <c r="D18" i="4"/>
  <c r="C18" i="4"/>
  <c r="B18" i="4"/>
  <c r="A18" i="4"/>
  <c r="E18" i="4" s="1"/>
  <c r="G17" i="4"/>
  <c r="F17" i="4"/>
  <c r="D17" i="4"/>
  <c r="C17" i="4"/>
  <c r="B17" i="4"/>
  <c r="A17" i="4"/>
  <c r="G16" i="4"/>
  <c r="F16" i="4"/>
  <c r="D16" i="4"/>
  <c r="C16" i="4"/>
  <c r="B16" i="4"/>
  <c r="A16" i="4"/>
  <c r="G15" i="4"/>
  <c r="F15" i="4"/>
  <c r="D15" i="4"/>
  <c r="C15" i="4"/>
  <c r="B15" i="4"/>
  <c r="A15" i="4"/>
  <c r="E15" i="4" s="1"/>
  <c r="G14" i="4"/>
  <c r="F14" i="4"/>
  <c r="D14" i="4"/>
  <c r="C14" i="4"/>
  <c r="B14" i="4"/>
  <c r="A14" i="4"/>
  <c r="E14" i="4" s="1"/>
  <c r="G13" i="4"/>
  <c r="F13" i="4"/>
  <c r="D13" i="4"/>
  <c r="C13" i="4"/>
  <c r="B13" i="4"/>
  <c r="E13" i="4" s="1"/>
  <c r="A13" i="4"/>
  <c r="G12" i="4"/>
  <c r="F12" i="4"/>
  <c r="D12" i="4"/>
  <c r="C12" i="4"/>
  <c r="B12" i="4"/>
  <c r="A12" i="4"/>
  <c r="E12" i="4" s="1"/>
  <c r="G11" i="4"/>
  <c r="F11" i="4"/>
  <c r="D11" i="4"/>
  <c r="C11" i="4"/>
  <c r="B11" i="4"/>
  <c r="A11" i="4"/>
  <c r="G10" i="4"/>
  <c r="F10" i="4"/>
  <c r="D10" i="4"/>
  <c r="C10" i="4"/>
  <c r="B10" i="4"/>
  <c r="A10" i="4"/>
  <c r="E10" i="4" s="1"/>
  <c r="G9" i="4"/>
  <c r="F9" i="4"/>
  <c r="D9" i="4"/>
  <c r="C9" i="4"/>
  <c r="B9" i="4"/>
  <c r="A9" i="4"/>
  <c r="G8" i="4"/>
  <c r="F8" i="4"/>
  <c r="D8" i="4"/>
  <c r="C8" i="4"/>
  <c r="B8" i="4"/>
  <c r="A8" i="4"/>
  <c r="E8" i="4" s="1"/>
  <c r="G7" i="4"/>
  <c r="F7" i="4"/>
  <c r="D7" i="4"/>
  <c r="C7" i="4"/>
  <c r="B7" i="4"/>
  <c r="A7" i="4"/>
  <c r="G6" i="4"/>
  <c r="F6" i="4"/>
  <c r="D6" i="4"/>
  <c r="C6" i="4"/>
  <c r="B6" i="4"/>
  <c r="A6" i="4"/>
  <c r="E6" i="4" s="1"/>
  <c r="G5" i="4"/>
  <c r="F5" i="4"/>
  <c r="D5" i="4"/>
  <c r="C5" i="4"/>
  <c r="B5" i="4"/>
  <c r="A5" i="4"/>
  <c r="E5" i="4" s="1"/>
  <c r="G4" i="4"/>
  <c r="F4" i="4"/>
  <c r="D4" i="4"/>
  <c r="C4" i="4"/>
  <c r="B4" i="4"/>
  <c r="A4" i="4"/>
  <c r="E4" i="4" s="1"/>
  <c r="G3" i="4"/>
  <c r="F3" i="4"/>
  <c r="D3" i="4"/>
  <c r="C3" i="4"/>
  <c r="B3" i="4"/>
  <c r="A3" i="4"/>
  <c r="G2" i="4"/>
  <c r="F2" i="4"/>
  <c r="D2" i="4"/>
  <c r="C2" i="4"/>
  <c r="B2" i="4"/>
  <c r="A2" i="4"/>
  <c r="E2" i="4" s="1"/>
  <c r="J9" i="4" s="1"/>
  <c r="C9" i="2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B42" i="3" s="1"/>
  <c r="C42" i="3" s="1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B25" i="3" s="1"/>
  <c r="C25" i="3" s="1"/>
  <c r="A24" i="3"/>
  <c r="A23" i="3"/>
  <c r="A22" i="3"/>
  <c r="A21" i="3"/>
  <c r="B21" i="3" s="1"/>
  <c r="F21" i="3" s="1"/>
  <c r="A20" i="3"/>
  <c r="A19" i="3"/>
  <c r="B19" i="3" s="1"/>
  <c r="A18" i="3"/>
  <c r="A17" i="3"/>
  <c r="A16" i="3"/>
  <c r="A15" i="3"/>
  <c r="A14" i="3"/>
  <c r="A13" i="3"/>
  <c r="B13" i="3" s="1"/>
  <c r="C13" i="3" s="1"/>
  <c r="A12" i="3"/>
  <c r="A11" i="3"/>
  <c r="A10" i="3"/>
  <c r="A9" i="3"/>
  <c r="A8" i="3"/>
  <c r="A7" i="3"/>
  <c r="B7" i="3" s="1"/>
  <c r="A6" i="3"/>
  <c r="A5" i="3"/>
  <c r="A4" i="3"/>
  <c r="A3" i="3"/>
  <c r="A2" i="3"/>
  <c r="B31" i="3" s="1"/>
  <c r="E63" i="4" l="1"/>
  <c r="E33" i="4"/>
  <c r="E3" i="4"/>
  <c r="E7" i="4"/>
  <c r="E30" i="4"/>
  <c r="E57" i="4"/>
  <c r="B45" i="3"/>
  <c r="D45" i="3" s="1"/>
  <c r="E99" i="4"/>
  <c r="E100" i="4"/>
  <c r="B27" i="3"/>
  <c r="D27" i="3" s="1"/>
  <c r="E104" i="4"/>
  <c r="B9" i="3"/>
  <c r="G9" i="3" s="1"/>
  <c r="E51" i="4"/>
  <c r="E17" i="4"/>
  <c r="E40" i="4"/>
  <c r="E55" i="4"/>
  <c r="E74" i="4"/>
  <c r="E69" i="4"/>
  <c r="B89" i="3"/>
  <c r="D89" i="3" s="1"/>
  <c r="E16" i="4"/>
  <c r="E39" i="4"/>
  <c r="E105" i="4"/>
  <c r="B3" i="3"/>
  <c r="F3" i="3" s="1"/>
  <c r="B15" i="3"/>
  <c r="D15" i="3" s="1"/>
  <c r="E75" i="4"/>
  <c r="B36" i="3"/>
  <c r="C36" i="3" s="1"/>
  <c r="E64" i="4"/>
  <c r="E79" i="4"/>
  <c r="E98" i="4"/>
  <c r="F89" i="3"/>
  <c r="C89" i="3"/>
  <c r="G7" i="3"/>
  <c r="E7" i="3"/>
  <c r="F7" i="3"/>
  <c r="D7" i="3"/>
  <c r="G19" i="3"/>
  <c r="E19" i="3"/>
  <c r="F19" i="3"/>
  <c r="D19" i="3"/>
  <c r="F31" i="3"/>
  <c r="E31" i="3"/>
  <c r="G31" i="3"/>
  <c r="D31" i="3"/>
  <c r="B81" i="3"/>
  <c r="D3" i="3"/>
  <c r="C7" i="3"/>
  <c r="C19" i="3"/>
  <c r="D21" i="3"/>
  <c r="C31" i="3"/>
  <c r="B57" i="3"/>
  <c r="B82" i="3"/>
  <c r="E27" i="3"/>
  <c r="B60" i="3"/>
  <c r="G13" i="3"/>
  <c r="E13" i="3"/>
  <c r="F13" i="3"/>
  <c r="D13" i="3"/>
  <c r="E21" i="3"/>
  <c r="C21" i="3"/>
  <c r="B46" i="3"/>
  <c r="B2" i="3"/>
  <c r="B6" i="3"/>
  <c r="B8" i="3"/>
  <c r="B12" i="3"/>
  <c r="B14" i="3"/>
  <c r="G15" i="3"/>
  <c r="B18" i="3"/>
  <c r="B20" i="3"/>
  <c r="G21" i="3"/>
  <c r="B24" i="3"/>
  <c r="B26" i="3"/>
  <c r="B30" i="3"/>
  <c r="B32" i="3"/>
  <c r="B38" i="3"/>
  <c r="B58" i="3"/>
  <c r="B70" i="3"/>
  <c r="B75" i="3"/>
  <c r="G25" i="3"/>
  <c r="E25" i="3"/>
  <c r="F25" i="3"/>
  <c r="D25" i="3"/>
  <c r="B63" i="3"/>
  <c r="F36" i="3"/>
  <c r="E36" i="3"/>
  <c r="D36" i="3"/>
  <c r="G42" i="3"/>
  <c r="F42" i="3"/>
  <c r="E42" i="3"/>
  <c r="D42" i="3"/>
  <c r="F45" i="3"/>
  <c r="E45" i="3"/>
  <c r="B52" i="3"/>
  <c r="B64" i="3"/>
  <c r="B76" i="3"/>
  <c r="B95" i="3"/>
  <c r="B105" i="3"/>
  <c r="B4" i="3"/>
  <c r="B5" i="3"/>
  <c r="B10" i="3"/>
  <c r="B11" i="3"/>
  <c r="B16" i="3"/>
  <c r="B17" i="3"/>
  <c r="B22" i="3"/>
  <c r="B23" i="3"/>
  <c r="B28" i="3"/>
  <c r="B29" i="3"/>
  <c r="B33" i="3"/>
  <c r="B37" i="3"/>
  <c r="B39" i="3"/>
  <c r="B48" i="3"/>
  <c r="B66" i="3"/>
  <c r="B84" i="3"/>
  <c r="B35" i="3"/>
  <c r="B41" i="3"/>
  <c r="B51" i="3"/>
  <c r="B69" i="3"/>
  <c r="B103" i="3"/>
  <c r="I3" i="4"/>
  <c r="B3" i="2" s="1"/>
  <c r="B100" i="3"/>
  <c r="B92" i="3"/>
  <c r="B86" i="3"/>
  <c r="B79" i="3"/>
  <c r="B73" i="3"/>
  <c r="B67" i="3"/>
  <c r="B61" i="3"/>
  <c r="B55" i="3"/>
  <c r="B49" i="3"/>
  <c r="B43" i="3"/>
  <c r="B104" i="3"/>
  <c r="B94" i="3"/>
  <c r="B88" i="3"/>
  <c r="B101" i="3"/>
  <c r="B80" i="3"/>
  <c r="B74" i="3"/>
  <c r="B68" i="3"/>
  <c r="B62" i="3"/>
  <c r="B56" i="3"/>
  <c r="B50" i="3"/>
  <c r="B44" i="3"/>
  <c r="B98" i="3"/>
  <c r="B90" i="3"/>
  <c r="B40" i="3"/>
  <c r="B34" i="3"/>
  <c r="B54" i="3"/>
  <c r="B72" i="3"/>
  <c r="B78" i="3"/>
  <c r="B47" i="3"/>
  <c r="B53" i="3"/>
  <c r="B59" i="3"/>
  <c r="B65" i="3"/>
  <c r="B71" i="3"/>
  <c r="B77" i="3"/>
  <c r="B83" i="3"/>
  <c r="B87" i="3"/>
  <c r="B93" i="3"/>
  <c r="B97" i="3"/>
  <c r="B102" i="3"/>
  <c r="AH31" i="4"/>
  <c r="AA31" i="2" s="1"/>
  <c r="AH25" i="4"/>
  <c r="AA25" i="2" s="1"/>
  <c r="J17" i="4"/>
  <c r="C17" i="2" s="1"/>
  <c r="AG12" i="4"/>
  <c r="Z12" i="2" s="1"/>
  <c r="AB11" i="4"/>
  <c r="U11" i="2" s="1"/>
  <c r="J11" i="4"/>
  <c r="C11" i="2" s="1"/>
  <c r="Z28" i="4"/>
  <c r="S28" i="2" s="1"/>
  <c r="S26" i="4"/>
  <c r="L26" i="2" s="1"/>
  <c r="V19" i="4"/>
  <c r="O19" i="2" s="1"/>
  <c r="AG17" i="4"/>
  <c r="Z17" i="2" s="1"/>
  <c r="Q15" i="4"/>
  <c r="J15" i="2" s="1"/>
  <c r="R14" i="4"/>
  <c r="K14" i="2" s="1"/>
  <c r="K31" i="4"/>
  <c r="D31" i="2" s="1"/>
  <c r="J19" i="4"/>
  <c r="C19" i="2" s="1"/>
  <c r="AG14" i="4"/>
  <c r="Z14" i="2" s="1"/>
  <c r="AA14" i="4"/>
  <c r="T14" i="2" s="1"/>
  <c r="R11" i="4"/>
  <c r="K11" i="2" s="1"/>
  <c r="L11" i="4"/>
  <c r="E11" i="2" s="1"/>
  <c r="AJ18" i="4"/>
  <c r="AC18" i="2" s="1"/>
  <c r="J18" i="4"/>
  <c r="C18" i="2" s="1"/>
  <c r="T17" i="4"/>
  <c r="M17" i="2" s="1"/>
  <c r="AD16" i="4"/>
  <c r="W16" i="2" s="1"/>
  <c r="I9" i="4"/>
  <c r="B9" i="2" s="1"/>
  <c r="AF8" i="4"/>
  <c r="Y8" i="2" s="1"/>
  <c r="AD5" i="4"/>
  <c r="W5" i="2" s="1"/>
  <c r="X5" i="4"/>
  <c r="Q5" i="2" s="1"/>
  <c r="I2" i="4"/>
  <c r="B2" i="2" s="1"/>
  <c r="AK27" i="4"/>
  <c r="AD27" i="2" s="1"/>
  <c r="U13" i="4"/>
  <c r="N13" i="2" s="1"/>
  <c r="AK12" i="4"/>
  <c r="AD12" i="2" s="1"/>
  <c r="U7" i="4"/>
  <c r="N7" i="2" s="1"/>
  <c r="O7" i="4"/>
  <c r="H7" i="2" s="1"/>
  <c r="AK3" i="4"/>
  <c r="AD3" i="2" s="1"/>
  <c r="AE3" i="4"/>
  <c r="X3" i="2" s="1"/>
  <c r="B85" i="3"/>
  <c r="B91" i="3"/>
  <c r="B96" i="3"/>
  <c r="B99" i="3"/>
  <c r="E11" i="4"/>
  <c r="E9" i="4"/>
  <c r="AC24" i="4" s="1"/>
  <c r="V24" i="2" s="1"/>
  <c r="E19" i="4"/>
  <c r="E31" i="4"/>
  <c r="U18" i="4" s="1"/>
  <c r="N18" i="2" s="1"/>
  <c r="P19" i="4" l="1"/>
  <c r="I19" i="2" s="1"/>
  <c r="AC25" i="4"/>
  <c r="V25" i="2" s="1"/>
  <c r="J29" i="4"/>
  <c r="C29" i="2" s="1"/>
  <c r="P10" i="4"/>
  <c r="I10" i="2" s="1"/>
  <c r="V3" i="4"/>
  <c r="O3" i="2" s="1"/>
  <c r="AF10" i="4"/>
  <c r="Y10" i="2" s="1"/>
  <c r="AI31" i="4"/>
  <c r="AB31" i="2" s="1"/>
  <c r="X3" i="4"/>
  <c r="Q3" i="2" s="1"/>
  <c r="R13" i="4"/>
  <c r="K13" i="2" s="1"/>
  <c r="T9" i="4"/>
  <c r="M9" i="2" s="1"/>
  <c r="AC18" i="4"/>
  <c r="V18" i="2" s="1"/>
  <c r="AB17" i="4"/>
  <c r="U17" i="2" s="1"/>
  <c r="R18" i="4"/>
  <c r="K18" i="2" s="1"/>
  <c r="Q25" i="4"/>
  <c r="J25" i="2" s="1"/>
  <c r="O19" i="4"/>
  <c r="H19" i="2" s="1"/>
  <c r="AG6" i="4"/>
  <c r="Z6" i="2" s="1"/>
  <c r="AB3" i="4"/>
  <c r="U3" i="2" s="1"/>
  <c r="AL10" i="4"/>
  <c r="AE10" i="2" s="1"/>
  <c r="AL23" i="4"/>
  <c r="AE23" i="2" s="1"/>
  <c r="C9" i="3"/>
  <c r="L7" i="4"/>
  <c r="E7" i="2" s="1"/>
  <c r="P14" i="4"/>
  <c r="I14" i="2" s="1"/>
  <c r="L25" i="4"/>
  <c r="E25" i="2" s="1"/>
  <c r="E9" i="3"/>
  <c r="AB12" i="4"/>
  <c r="U12" i="2" s="1"/>
  <c r="AK17" i="4"/>
  <c r="AD17" i="2" s="1"/>
  <c r="T18" i="4"/>
  <c r="M18" i="2" s="1"/>
  <c r="C3" i="3"/>
  <c r="R7" i="4"/>
  <c r="K7" i="2" s="1"/>
  <c r="V14" i="4"/>
  <c r="O14" i="2" s="1"/>
  <c r="L31" i="4"/>
  <c r="E31" i="2" s="1"/>
  <c r="E3" i="3"/>
  <c r="C45" i="3"/>
  <c r="F27" i="3"/>
  <c r="X28" i="4"/>
  <c r="Q28" i="2" s="1"/>
  <c r="R22" i="4"/>
  <c r="K22" i="2" s="1"/>
  <c r="Y31" i="4"/>
  <c r="R31" i="2" s="1"/>
  <c r="Q7" i="4"/>
  <c r="J7" i="2" s="1"/>
  <c r="I5" i="4"/>
  <c r="B5" i="2" s="1"/>
  <c r="L24" i="4"/>
  <c r="E24" i="2" s="1"/>
  <c r="AF31" i="4"/>
  <c r="Y31" i="2" s="1"/>
  <c r="G45" i="3"/>
  <c r="F15" i="3"/>
  <c r="AB5" i="4"/>
  <c r="U5" i="2" s="1"/>
  <c r="L13" i="4"/>
  <c r="E13" i="2" s="1"/>
  <c r="L18" i="4"/>
  <c r="E18" i="2" s="1"/>
  <c r="T24" i="4"/>
  <c r="M24" i="2" s="1"/>
  <c r="J5" i="4"/>
  <c r="C5" i="2" s="1"/>
  <c r="S27" i="4"/>
  <c r="L27" i="2" s="1"/>
  <c r="Y25" i="4"/>
  <c r="R25" i="2" s="1"/>
  <c r="AA6" i="4"/>
  <c r="T6" i="2" s="1"/>
  <c r="O5" i="4"/>
  <c r="H5" i="2" s="1"/>
  <c r="M29" i="4"/>
  <c r="F29" i="2" s="1"/>
  <c r="G27" i="3"/>
  <c r="F9" i="3"/>
  <c r="C27" i="3"/>
  <c r="C15" i="3"/>
  <c r="E89" i="3"/>
  <c r="E15" i="3"/>
  <c r="G89" i="3"/>
  <c r="G36" i="3"/>
  <c r="G3" i="3"/>
  <c r="D9" i="3"/>
  <c r="M9" i="4"/>
  <c r="F9" i="2" s="1"/>
  <c r="D77" i="3"/>
  <c r="C77" i="3"/>
  <c r="E77" i="3"/>
  <c r="F77" i="3"/>
  <c r="G77" i="3"/>
  <c r="O6" i="4"/>
  <c r="H6" i="2" s="1"/>
  <c r="AD3" i="4"/>
  <c r="W3" i="2" s="1"/>
  <c r="AA8" i="4"/>
  <c r="T8" i="2" s="1"/>
  <c r="AC6" i="4"/>
  <c r="V6" i="2" s="1"/>
  <c r="U24" i="4"/>
  <c r="N24" i="2" s="1"/>
  <c r="I16" i="4"/>
  <c r="B16" i="2" s="1"/>
  <c r="T6" i="4"/>
  <c r="M6" i="2" s="1"/>
  <c r="AG21" i="4"/>
  <c r="Z21" i="2" s="1"/>
  <c r="AL15" i="4"/>
  <c r="AE15" i="2" s="1"/>
  <c r="AA27" i="4"/>
  <c r="T27" i="2" s="1"/>
  <c r="U15" i="4"/>
  <c r="N15" i="2" s="1"/>
  <c r="AG11" i="4"/>
  <c r="Z11" i="2" s="1"/>
  <c r="AF19" i="4"/>
  <c r="Y19" i="2" s="1"/>
  <c r="M14" i="4"/>
  <c r="F14" i="2" s="1"/>
  <c r="L19" i="4"/>
  <c r="E19" i="2" s="1"/>
  <c r="Y19" i="4"/>
  <c r="R19" i="2" s="1"/>
  <c r="AH19" i="4"/>
  <c r="AA19" i="2" s="1"/>
  <c r="N17" i="4"/>
  <c r="G17" i="2" s="1"/>
  <c r="AJ8" i="4"/>
  <c r="AC8" i="2" s="1"/>
  <c r="U6" i="4"/>
  <c r="N6" i="2" s="1"/>
  <c r="Q4" i="4"/>
  <c r="J4" i="2" s="1"/>
  <c r="AG25" i="4"/>
  <c r="Z25" i="2" s="1"/>
  <c r="AJ6" i="4"/>
  <c r="AC6" i="2" s="1"/>
  <c r="S5" i="4"/>
  <c r="L5" i="2" s="1"/>
  <c r="AK2" i="4"/>
  <c r="AD2" i="2" s="1"/>
  <c r="M8" i="4"/>
  <c r="F8" i="2" s="1"/>
  <c r="X6" i="4"/>
  <c r="Q6" i="2" s="1"/>
  <c r="AC4" i="4"/>
  <c r="V4" i="2" s="1"/>
  <c r="P12" i="4"/>
  <c r="I12" i="2" s="1"/>
  <c r="N4" i="4"/>
  <c r="G4" i="2" s="1"/>
  <c r="I13" i="4"/>
  <c r="B13" i="2" s="1"/>
  <c r="AG8" i="4"/>
  <c r="Z8" i="2" s="1"/>
  <c r="AA13" i="4"/>
  <c r="T13" i="2" s="1"/>
  <c r="V2" i="4"/>
  <c r="O2" i="2" s="1"/>
  <c r="AF4" i="4"/>
  <c r="Y4" i="2" s="1"/>
  <c r="AL11" i="4"/>
  <c r="AE11" i="2" s="1"/>
  <c r="Y9" i="4"/>
  <c r="R9" i="2" s="1"/>
  <c r="V10" i="4"/>
  <c r="O10" i="2" s="1"/>
  <c r="R6" i="4"/>
  <c r="K6" i="2" s="1"/>
  <c r="S8" i="4"/>
  <c r="L8" i="2" s="1"/>
  <c r="AB9" i="4"/>
  <c r="U9" i="2" s="1"/>
  <c r="S2" i="4"/>
  <c r="L2" i="2" s="1"/>
  <c r="AB31" i="4"/>
  <c r="U31" i="2" s="1"/>
  <c r="W30" i="4"/>
  <c r="P30" i="2" s="1"/>
  <c r="R29" i="4"/>
  <c r="K29" i="2" s="1"/>
  <c r="M28" i="4"/>
  <c r="F28" i="2" s="1"/>
  <c r="AG26" i="4"/>
  <c r="Z26" i="2" s="1"/>
  <c r="AB25" i="4"/>
  <c r="U25" i="2" s="1"/>
  <c r="W24" i="4"/>
  <c r="P24" i="2" s="1"/>
  <c r="R23" i="4"/>
  <c r="K23" i="2" s="1"/>
  <c r="M22" i="4"/>
  <c r="F22" i="2" s="1"/>
  <c r="AG20" i="4"/>
  <c r="Z20" i="2" s="1"/>
  <c r="AG31" i="4"/>
  <c r="Z31" i="2" s="1"/>
  <c r="Z31" i="4"/>
  <c r="S31" i="2" s="1"/>
  <c r="S31" i="4"/>
  <c r="L31" i="2" s="1"/>
  <c r="N30" i="4"/>
  <c r="G30" i="2" s="1"/>
  <c r="AH28" i="4"/>
  <c r="AA28" i="2" s="1"/>
  <c r="AC27" i="4"/>
  <c r="V27" i="2" s="1"/>
  <c r="X26" i="4"/>
  <c r="Q26" i="2" s="1"/>
  <c r="S25" i="4"/>
  <c r="L25" i="2" s="1"/>
  <c r="N24" i="4"/>
  <c r="G24" i="2" s="1"/>
  <c r="AH22" i="4"/>
  <c r="AA22" i="2" s="1"/>
  <c r="AC21" i="4"/>
  <c r="V21" i="2" s="1"/>
  <c r="X20" i="4"/>
  <c r="Q20" i="2" s="1"/>
  <c r="S19" i="4"/>
  <c r="L19" i="2" s="1"/>
  <c r="N18" i="4"/>
  <c r="G18" i="2" s="1"/>
  <c r="AK30" i="4"/>
  <c r="AD30" i="2" s="1"/>
  <c r="AF29" i="4"/>
  <c r="Y29" i="2" s="1"/>
  <c r="U28" i="4"/>
  <c r="N28" i="2" s="1"/>
  <c r="P27" i="4"/>
  <c r="I27" i="2" s="1"/>
  <c r="K26" i="4"/>
  <c r="D26" i="2" s="1"/>
  <c r="AK24" i="4"/>
  <c r="AD24" i="2" s="1"/>
  <c r="AF23" i="4"/>
  <c r="Y23" i="2" s="1"/>
  <c r="U22" i="4"/>
  <c r="N22" i="2" s="1"/>
  <c r="P21" i="4"/>
  <c r="I21" i="2" s="1"/>
  <c r="K20" i="4"/>
  <c r="D20" i="2" s="1"/>
  <c r="AK18" i="4"/>
  <c r="AD18" i="2" s="1"/>
  <c r="AJ30" i="4"/>
  <c r="AC30" i="2" s="1"/>
  <c r="AC31" i="4"/>
  <c r="V31" i="2" s="1"/>
  <c r="AC28" i="4"/>
  <c r="V28" i="2" s="1"/>
  <c r="T26" i="4"/>
  <c r="M26" i="2" s="1"/>
  <c r="AB23" i="4"/>
  <c r="U23" i="2" s="1"/>
  <c r="S21" i="4"/>
  <c r="L21" i="2" s="1"/>
  <c r="AI18" i="4"/>
  <c r="AB18" i="2" s="1"/>
  <c r="V17" i="4"/>
  <c r="O17" i="2" s="1"/>
  <c r="Q16" i="4"/>
  <c r="J16" i="2" s="1"/>
  <c r="L15" i="4"/>
  <c r="E15" i="2" s="1"/>
  <c r="AL13" i="4"/>
  <c r="AE13" i="2" s="1"/>
  <c r="AA12" i="4"/>
  <c r="T12" i="2" s="1"/>
  <c r="V11" i="4"/>
  <c r="O11" i="2" s="1"/>
  <c r="Q10" i="4"/>
  <c r="J10" i="2" s="1"/>
  <c r="L9" i="4"/>
  <c r="E9" i="2" s="1"/>
  <c r="U30" i="4"/>
  <c r="N30" i="2" s="1"/>
  <c r="N28" i="4"/>
  <c r="G28" i="2" s="1"/>
  <c r="AI25" i="4"/>
  <c r="AB25" i="2" s="1"/>
  <c r="Y23" i="4"/>
  <c r="R23" i="2" s="1"/>
  <c r="R21" i="4"/>
  <c r="K21" i="2" s="1"/>
  <c r="N19" i="4"/>
  <c r="G19" i="2" s="1"/>
  <c r="U17" i="4"/>
  <c r="N17" i="2" s="1"/>
  <c r="P16" i="4"/>
  <c r="I16" i="2" s="1"/>
  <c r="K15" i="4"/>
  <c r="D15" i="2" s="1"/>
  <c r="AK13" i="4"/>
  <c r="AD13" i="2" s="1"/>
  <c r="AF12" i="4"/>
  <c r="Y12" i="2" s="1"/>
  <c r="AB30" i="4"/>
  <c r="U30" i="2" s="1"/>
  <c r="W28" i="4"/>
  <c r="P28" i="2" s="1"/>
  <c r="N26" i="4"/>
  <c r="G26" i="2" s="1"/>
  <c r="AH23" i="4"/>
  <c r="AA23" i="2" s="1"/>
  <c r="Y21" i="4"/>
  <c r="R21" i="2" s="1"/>
  <c r="T19" i="4"/>
  <c r="M19" i="2" s="1"/>
  <c r="AE17" i="4"/>
  <c r="X17" i="2" s="1"/>
  <c r="Z16" i="4"/>
  <c r="S16" i="2" s="1"/>
  <c r="O15" i="4"/>
  <c r="H15" i="2" s="1"/>
  <c r="J14" i="4"/>
  <c r="C14" i="2" s="1"/>
  <c r="AJ12" i="4"/>
  <c r="AC12" i="2" s="1"/>
  <c r="AE11" i="4"/>
  <c r="X11" i="2" s="1"/>
  <c r="Z10" i="4"/>
  <c r="S10" i="2" s="1"/>
  <c r="AI29" i="4"/>
  <c r="AB29" i="2" s="1"/>
  <c r="O27" i="4"/>
  <c r="H27" i="2" s="1"/>
  <c r="AH24" i="4"/>
  <c r="AA24" i="2" s="1"/>
  <c r="Q22" i="4"/>
  <c r="J22" i="2" s="1"/>
  <c r="AL19" i="4"/>
  <c r="AE19" i="2" s="1"/>
  <c r="K18" i="4"/>
  <c r="D18" i="2" s="1"/>
  <c r="AK16" i="4"/>
  <c r="AD16" i="2" s="1"/>
  <c r="AF15" i="4"/>
  <c r="Y15" i="2" s="1"/>
  <c r="U14" i="4"/>
  <c r="N14" i="2" s="1"/>
  <c r="P13" i="4"/>
  <c r="I13" i="2" s="1"/>
  <c r="K12" i="4"/>
  <c r="D12" i="2" s="1"/>
  <c r="AK10" i="4"/>
  <c r="AD10" i="2" s="1"/>
  <c r="AF9" i="4"/>
  <c r="Y9" i="2" s="1"/>
  <c r="I24" i="4"/>
  <c r="B24" i="2" s="1"/>
  <c r="W17" i="4"/>
  <c r="P17" i="2" s="1"/>
  <c r="AD30" i="4"/>
  <c r="W30" i="2" s="1"/>
  <c r="AK20" i="4"/>
  <c r="AD20" i="2" s="1"/>
  <c r="L16" i="4"/>
  <c r="E16" i="2" s="1"/>
  <c r="AE12" i="4"/>
  <c r="X12" i="2" s="1"/>
  <c r="I10" i="4"/>
  <c r="B10" i="2" s="1"/>
  <c r="X8" i="4"/>
  <c r="Q8" i="2" s="1"/>
  <c r="S7" i="4"/>
  <c r="L7" i="2" s="1"/>
  <c r="N6" i="4"/>
  <c r="G6" i="2" s="1"/>
  <c r="AH4" i="4"/>
  <c r="AA4" i="2" s="1"/>
  <c r="AC3" i="4"/>
  <c r="V3" i="2" s="1"/>
  <c r="X2" i="4"/>
  <c r="Q2" i="2" s="1"/>
  <c r="J26" i="4"/>
  <c r="C26" i="2" s="1"/>
  <c r="Z19" i="4"/>
  <c r="S19" i="2" s="1"/>
  <c r="Y15" i="4"/>
  <c r="R15" i="2" s="1"/>
  <c r="J12" i="4"/>
  <c r="C12" i="2" s="1"/>
  <c r="V9" i="4"/>
  <c r="O9" i="2" s="1"/>
  <c r="K8" i="4"/>
  <c r="D8" i="2" s="1"/>
  <c r="AK6" i="4"/>
  <c r="AD6" i="2" s="1"/>
  <c r="AF5" i="4"/>
  <c r="Y5" i="2" s="1"/>
  <c r="U4" i="4"/>
  <c r="N4" i="2" s="1"/>
  <c r="P3" i="4"/>
  <c r="I3" i="2" s="1"/>
  <c r="K2" i="4"/>
  <c r="D2" i="2" s="1"/>
  <c r="W23" i="4"/>
  <c r="P23" i="2" s="1"/>
  <c r="AC17" i="4"/>
  <c r="V17" i="2" s="1"/>
  <c r="N14" i="4"/>
  <c r="G14" i="2" s="1"/>
  <c r="AA10" i="4"/>
  <c r="T10" i="2" s="1"/>
  <c r="AI8" i="4"/>
  <c r="AB8" i="2" s="1"/>
  <c r="AB7" i="4"/>
  <c r="U7" i="2" s="1"/>
  <c r="W6" i="4"/>
  <c r="P6" i="2" s="1"/>
  <c r="R5" i="4"/>
  <c r="K5" i="2" s="1"/>
  <c r="M4" i="4"/>
  <c r="F4" i="2" s="1"/>
  <c r="AG2" i="4"/>
  <c r="Z2" i="2" s="1"/>
  <c r="AB26" i="4"/>
  <c r="U26" i="2" s="1"/>
  <c r="M20" i="4"/>
  <c r="F20" i="2" s="1"/>
  <c r="AH15" i="4"/>
  <c r="AA15" i="2" s="1"/>
  <c r="S12" i="4"/>
  <c r="L12" i="2" s="1"/>
  <c r="AH9" i="4"/>
  <c r="AA9" i="2" s="1"/>
  <c r="T8" i="4"/>
  <c r="M8" i="2" s="1"/>
  <c r="I7" i="4"/>
  <c r="B7" i="2" s="1"/>
  <c r="AI5" i="4"/>
  <c r="AB5" i="2" s="1"/>
  <c r="AD4" i="4"/>
  <c r="W4" i="2" s="1"/>
  <c r="Y3" i="4"/>
  <c r="R3" i="2" s="1"/>
  <c r="T2" i="4"/>
  <c r="M2" i="2" s="1"/>
  <c r="T4" i="4"/>
  <c r="M4" i="2" s="1"/>
  <c r="AI7" i="4"/>
  <c r="AB7" i="2" s="1"/>
  <c r="AJ13" i="4"/>
  <c r="AC13" i="2" s="1"/>
  <c r="AE2" i="4"/>
  <c r="X2" i="2" s="1"/>
  <c r="L6" i="4"/>
  <c r="E6" i="2" s="1"/>
  <c r="J10" i="4"/>
  <c r="C10" i="2" s="1"/>
  <c r="AJ3" i="4"/>
  <c r="AC3" i="2" s="1"/>
  <c r="W7" i="4"/>
  <c r="P7" i="2" s="1"/>
  <c r="AI14" i="4"/>
  <c r="AB14" i="2" s="1"/>
  <c r="U21" i="4"/>
  <c r="N21" i="2" s="1"/>
  <c r="AB29" i="4"/>
  <c r="U29" i="2" s="1"/>
  <c r="AA24" i="4"/>
  <c r="T24" i="2" s="1"/>
  <c r="P5" i="4"/>
  <c r="I5" i="2" s="1"/>
  <c r="N7" i="4"/>
  <c r="G7" i="2" s="1"/>
  <c r="P8" i="4"/>
  <c r="I8" i="2" s="1"/>
  <c r="U3" i="4"/>
  <c r="N3" i="2" s="1"/>
  <c r="V31" i="4"/>
  <c r="O31" i="2" s="1"/>
  <c r="Q30" i="4"/>
  <c r="J30" i="2" s="1"/>
  <c r="L29" i="4"/>
  <c r="E29" i="2" s="1"/>
  <c r="AL27" i="4"/>
  <c r="AE27" i="2" s="1"/>
  <c r="AA26" i="4"/>
  <c r="T26" i="2" s="1"/>
  <c r="V25" i="4"/>
  <c r="O25" i="2" s="1"/>
  <c r="Q24" i="4"/>
  <c r="J24" i="2" s="1"/>
  <c r="L23" i="4"/>
  <c r="E23" i="2" s="1"/>
  <c r="AL21" i="4"/>
  <c r="AE21" i="2" s="1"/>
  <c r="AA20" i="4"/>
  <c r="T20" i="2" s="1"/>
  <c r="AA31" i="4"/>
  <c r="T31" i="2" s="1"/>
  <c r="T31" i="4"/>
  <c r="M31" i="2" s="1"/>
  <c r="M31" i="4"/>
  <c r="F31" i="2" s="1"/>
  <c r="AG29" i="4"/>
  <c r="Z29" i="2" s="1"/>
  <c r="AB28" i="4"/>
  <c r="U28" i="2" s="1"/>
  <c r="W27" i="4"/>
  <c r="P27" i="2" s="1"/>
  <c r="R26" i="4"/>
  <c r="K26" i="2" s="1"/>
  <c r="M25" i="4"/>
  <c r="F25" i="2" s="1"/>
  <c r="AG23" i="4"/>
  <c r="Z23" i="2" s="1"/>
  <c r="AB22" i="4"/>
  <c r="U22" i="2" s="1"/>
  <c r="W21" i="4"/>
  <c r="P21" i="2" s="1"/>
  <c r="R20" i="4"/>
  <c r="K20" i="2" s="1"/>
  <c r="M19" i="4"/>
  <c r="F19" i="2" s="1"/>
  <c r="AJ31" i="4"/>
  <c r="AC31" i="2" s="1"/>
  <c r="AE30" i="4"/>
  <c r="X30" i="2" s="1"/>
  <c r="Z29" i="4"/>
  <c r="S29" i="2" s="1"/>
  <c r="O28" i="4"/>
  <c r="H28" i="2" s="1"/>
  <c r="J27" i="4"/>
  <c r="C27" i="2" s="1"/>
  <c r="AJ25" i="4"/>
  <c r="AC25" i="2" s="1"/>
  <c r="AE24" i="4"/>
  <c r="X24" i="2" s="1"/>
  <c r="Z23" i="4"/>
  <c r="S23" i="2" s="1"/>
  <c r="O22" i="4"/>
  <c r="H22" i="2" s="1"/>
  <c r="J21" i="4"/>
  <c r="C21" i="2" s="1"/>
  <c r="AJ19" i="4"/>
  <c r="AC19" i="2" s="1"/>
  <c r="AE18" i="4"/>
  <c r="X18" i="2" s="1"/>
  <c r="X30" i="4"/>
  <c r="Q30" i="2" s="1"/>
  <c r="AH30" i="4"/>
  <c r="AA30" i="2" s="1"/>
  <c r="Q28" i="4"/>
  <c r="J28" i="2" s="1"/>
  <c r="AL25" i="4"/>
  <c r="AE25" i="2" s="1"/>
  <c r="P23" i="4"/>
  <c r="I23" i="2" s="1"/>
  <c r="AB20" i="4"/>
  <c r="U20" i="2" s="1"/>
  <c r="AA18" i="4"/>
  <c r="T18" i="2" s="1"/>
  <c r="P17" i="4"/>
  <c r="I17" i="2" s="1"/>
  <c r="K16" i="4"/>
  <c r="D16" i="2" s="1"/>
  <c r="AK14" i="4"/>
  <c r="AD14" i="2" s="1"/>
  <c r="AF13" i="4"/>
  <c r="Y13" i="2" s="1"/>
  <c r="U12" i="4"/>
  <c r="N12" i="2" s="1"/>
  <c r="P11" i="4"/>
  <c r="I11" i="2" s="1"/>
  <c r="K10" i="4"/>
  <c r="D10" i="2" s="1"/>
  <c r="AK8" i="4"/>
  <c r="AD8" i="2" s="1"/>
  <c r="I30" i="4"/>
  <c r="B30" i="2" s="1"/>
  <c r="AG27" i="4"/>
  <c r="Z27" i="2" s="1"/>
  <c r="W25" i="4"/>
  <c r="P25" i="2" s="1"/>
  <c r="M23" i="4"/>
  <c r="F23" i="2" s="1"/>
  <c r="AL20" i="4"/>
  <c r="AE20" i="2" s="1"/>
  <c r="AH18" i="4"/>
  <c r="AA18" i="2" s="1"/>
  <c r="O17" i="4"/>
  <c r="H17" i="2" s="1"/>
  <c r="J16" i="4"/>
  <c r="C16" i="2" s="1"/>
  <c r="AJ14" i="4"/>
  <c r="AC14" i="2" s="1"/>
  <c r="AE13" i="4"/>
  <c r="X13" i="2" s="1"/>
  <c r="Z12" i="4"/>
  <c r="S12" i="2" s="1"/>
  <c r="P30" i="4"/>
  <c r="I30" i="2" s="1"/>
  <c r="K28" i="4"/>
  <c r="D28" i="2" s="1"/>
  <c r="AF25" i="4"/>
  <c r="Y25" i="2" s="1"/>
  <c r="V23" i="4"/>
  <c r="O23" i="2" s="1"/>
  <c r="M21" i="4"/>
  <c r="F21" i="2" s="1"/>
  <c r="Y17" i="4"/>
  <c r="R17" i="2" s="1"/>
  <c r="T16" i="4"/>
  <c r="M16" i="2" s="1"/>
  <c r="I15" i="4"/>
  <c r="B15" i="2" s="1"/>
  <c r="AI13" i="4"/>
  <c r="AB13" i="2" s="1"/>
  <c r="AD12" i="4"/>
  <c r="W12" i="2" s="1"/>
  <c r="Y11" i="4"/>
  <c r="R11" i="2" s="1"/>
  <c r="T10" i="4"/>
  <c r="M10" i="2" s="1"/>
  <c r="W29" i="4"/>
  <c r="P29" i="2" s="1"/>
  <c r="AK26" i="4"/>
  <c r="AD26" i="2" s="1"/>
  <c r="V24" i="4"/>
  <c r="O24" i="2" s="1"/>
  <c r="AJ21" i="4"/>
  <c r="AC21" i="2" s="1"/>
  <c r="AA19" i="4"/>
  <c r="T19" i="2" s="1"/>
  <c r="AJ17" i="4"/>
  <c r="AC17" i="2" s="1"/>
  <c r="AE16" i="4"/>
  <c r="X16" i="2" s="1"/>
  <c r="Z15" i="4"/>
  <c r="S15" i="2" s="1"/>
  <c r="O14" i="4"/>
  <c r="H14" i="2" s="1"/>
  <c r="J13" i="4"/>
  <c r="C13" i="2" s="1"/>
  <c r="AJ11" i="4"/>
  <c r="AC11" i="2" s="1"/>
  <c r="AE10" i="4"/>
  <c r="X10" i="2" s="1"/>
  <c r="Q31" i="4"/>
  <c r="J31" i="2" s="1"/>
  <c r="K23" i="4"/>
  <c r="D23" i="2" s="1"/>
  <c r="AG16" i="4"/>
  <c r="Z16" i="2" s="1"/>
  <c r="AD28" i="4"/>
  <c r="W28" i="2" s="1"/>
  <c r="AC19" i="4"/>
  <c r="V19" i="2" s="1"/>
  <c r="AB15" i="4"/>
  <c r="U15" i="2" s="1"/>
  <c r="M12" i="4"/>
  <c r="F12" i="2" s="1"/>
  <c r="AE9" i="4"/>
  <c r="X9" i="2" s="1"/>
  <c r="R8" i="4"/>
  <c r="K8" i="2" s="1"/>
  <c r="M7" i="4"/>
  <c r="F7" i="2" s="1"/>
  <c r="AG5" i="4"/>
  <c r="Z5" i="2" s="1"/>
  <c r="AB4" i="4"/>
  <c r="U4" i="2" s="1"/>
  <c r="W3" i="4"/>
  <c r="P3" i="2" s="1"/>
  <c r="R2" i="4"/>
  <c r="K2" i="2" s="1"/>
  <c r="AG24" i="4"/>
  <c r="Z24" i="2" s="1"/>
  <c r="AB18" i="4"/>
  <c r="U18" i="2" s="1"/>
  <c r="AL14" i="4"/>
  <c r="AE14" i="2" s="1"/>
  <c r="Z11" i="4"/>
  <c r="S11" i="2" s="1"/>
  <c r="O9" i="4"/>
  <c r="H9" i="2" s="1"/>
  <c r="AJ7" i="4"/>
  <c r="AC7" i="2" s="1"/>
  <c r="AE6" i="4"/>
  <c r="X6" i="2" s="1"/>
  <c r="Z5" i="4"/>
  <c r="S5" i="2" s="1"/>
  <c r="O4" i="4"/>
  <c r="H4" i="2" s="1"/>
  <c r="J3" i="4"/>
  <c r="C3" i="2" s="1"/>
  <c r="P29" i="4"/>
  <c r="I29" i="2" s="1"/>
  <c r="Z22" i="4"/>
  <c r="S22" i="2" s="1"/>
  <c r="K17" i="4"/>
  <c r="D17" i="2" s="1"/>
  <c r="X13" i="4"/>
  <c r="Q13" i="2" s="1"/>
  <c r="O10" i="4"/>
  <c r="H10" i="2" s="1"/>
  <c r="AB8" i="4"/>
  <c r="U8" i="2" s="1"/>
  <c r="V7" i="4"/>
  <c r="O7" i="2" s="1"/>
  <c r="Q6" i="4"/>
  <c r="J6" i="2" s="1"/>
  <c r="L5" i="4"/>
  <c r="E5" i="2" s="1"/>
  <c r="AL3" i="4"/>
  <c r="AE3" i="2" s="1"/>
  <c r="AA2" i="4"/>
  <c r="T2" i="2" s="1"/>
  <c r="U25" i="4"/>
  <c r="N25" i="2" s="1"/>
  <c r="K19" i="4"/>
  <c r="D19" i="2" s="1"/>
  <c r="P15" i="4"/>
  <c r="I15" i="2" s="1"/>
  <c r="AF11" i="4"/>
  <c r="Y11" i="2" s="1"/>
  <c r="Z9" i="4"/>
  <c r="S9" i="2" s="1"/>
  <c r="N8" i="4"/>
  <c r="G8" i="2" s="1"/>
  <c r="AH6" i="4"/>
  <c r="AA6" i="2" s="1"/>
  <c r="AC5" i="4"/>
  <c r="V5" i="2" s="1"/>
  <c r="X4" i="4"/>
  <c r="Q4" i="2" s="1"/>
  <c r="S3" i="4"/>
  <c r="L3" i="2" s="1"/>
  <c r="N2" i="4"/>
  <c r="G2" i="2" s="1"/>
  <c r="AL4" i="4"/>
  <c r="AE4" i="2" s="1"/>
  <c r="V8" i="4"/>
  <c r="O8" i="2" s="1"/>
  <c r="AF17" i="4"/>
  <c r="Y17" i="2" s="1"/>
  <c r="O3" i="4"/>
  <c r="H3" i="2" s="1"/>
  <c r="AD6" i="4"/>
  <c r="W6" i="2" s="1"/>
  <c r="Q11" i="4"/>
  <c r="J11" i="2" s="1"/>
  <c r="Z4" i="4"/>
  <c r="S4" i="2" s="1"/>
  <c r="J8" i="4"/>
  <c r="C8" i="2" s="1"/>
  <c r="U19" i="4"/>
  <c r="N19" i="2" s="1"/>
  <c r="P31" i="4"/>
  <c r="I31" i="2" s="1"/>
  <c r="K30" i="4"/>
  <c r="D30" i="2" s="1"/>
  <c r="AK28" i="4"/>
  <c r="AD28" i="2" s="1"/>
  <c r="AF27" i="4"/>
  <c r="Y27" i="2" s="1"/>
  <c r="U26" i="4"/>
  <c r="N26" i="2" s="1"/>
  <c r="P25" i="4"/>
  <c r="I25" i="2" s="1"/>
  <c r="K24" i="4"/>
  <c r="D24" i="2" s="1"/>
  <c r="AK22" i="4"/>
  <c r="AD22" i="2" s="1"/>
  <c r="AF21" i="4"/>
  <c r="Y21" i="2" s="1"/>
  <c r="U20" i="4"/>
  <c r="N20" i="2" s="1"/>
  <c r="U31" i="4"/>
  <c r="N31" i="2" s="1"/>
  <c r="N31" i="4"/>
  <c r="G31" i="2" s="1"/>
  <c r="AL30" i="4"/>
  <c r="AE30" i="2" s="1"/>
  <c r="AA29" i="4"/>
  <c r="T29" i="2" s="1"/>
  <c r="V28" i="4"/>
  <c r="O28" i="2" s="1"/>
  <c r="Q27" i="4"/>
  <c r="J27" i="2" s="1"/>
  <c r="L26" i="4"/>
  <c r="E26" i="2" s="1"/>
  <c r="AL24" i="4"/>
  <c r="AE24" i="2" s="1"/>
  <c r="AA23" i="4"/>
  <c r="T23" i="2" s="1"/>
  <c r="V22" i="4"/>
  <c r="O22" i="2" s="1"/>
  <c r="Q21" i="4"/>
  <c r="J21" i="2" s="1"/>
  <c r="L20" i="4"/>
  <c r="E20" i="2" s="1"/>
  <c r="AL18" i="4"/>
  <c r="AE18" i="2" s="1"/>
  <c r="AD31" i="4"/>
  <c r="W31" i="2" s="1"/>
  <c r="Y30" i="4"/>
  <c r="R30" i="2" s="1"/>
  <c r="T29" i="4"/>
  <c r="M29" i="2" s="1"/>
  <c r="I28" i="4"/>
  <c r="B28" i="2" s="1"/>
  <c r="AI26" i="4"/>
  <c r="AB26" i="2" s="1"/>
  <c r="AD25" i="4"/>
  <c r="W25" i="2" s="1"/>
  <c r="Y24" i="4"/>
  <c r="R24" i="2" s="1"/>
  <c r="T23" i="4"/>
  <c r="M23" i="2" s="1"/>
  <c r="I22" i="4"/>
  <c r="B22" i="2" s="1"/>
  <c r="AI20" i="4"/>
  <c r="AB20" i="2" s="1"/>
  <c r="AD19" i="4"/>
  <c r="W19" i="2" s="1"/>
  <c r="Y18" i="4"/>
  <c r="R18" i="2" s="1"/>
  <c r="L30" i="4"/>
  <c r="E30" i="2" s="1"/>
  <c r="V30" i="4"/>
  <c r="O30" i="2" s="1"/>
  <c r="AJ27" i="4"/>
  <c r="AC27" i="2" s="1"/>
  <c r="Z25" i="4"/>
  <c r="S25" i="2" s="1"/>
  <c r="AJ22" i="4"/>
  <c r="AC22" i="2" s="1"/>
  <c r="P20" i="4"/>
  <c r="I20" i="2" s="1"/>
  <c r="Q18" i="4"/>
  <c r="J18" i="2" s="1"/>
  <c r="AJ15" i="4"/>
  <c r="AC15" i="2" s="1"/>
  <c r="AE14" i="4"/>
  <c r="X14" i="2" s="1"/>
  <c r="Z13" i="4"/>
  <c r="S13" i="2" s="1"/>
  <c r="O12" i="4"/>
  <c r="H12" i="2" s="1"/>
  <c r="AJ9" i="4"/>
  <c r="AC9" i="2" s="1"/>
  <c r="AE8" i="4"/>
  <c r="X8" i="2" s="1"/>
  <c r="AC29" i="4"/>
  <c r="V29" i="2" s="1"/>
  <c r="U27" i="4"/>
  <c r="N27" i="2" s="1"/>
  <c r="K25" i="4"/>
  <c r="D25" i="2" s="1"/>
  <c r="AI22" i="4"/>
  <c r="AB22" i="2" s="1"/>
  <c r="Z20" i="4"/>
  <c r="S20" i="2" s="1"/>
  <c r="X18" i="4"/>
  <c r="Q18" i="2" s="1"/>
  <c r="I17" i="4"/>
  <c r="B17" i="2" s="1"/>
  <c r="AI15" i="4"/>
  <c r="AB15" i="2" s="1"/>
  <c r="AD14" i="4"/>
  <c r="W14" i="2" s="1"/>
  <c r="Y13" i="4"/>
  <c r="R13" i="2" s="1"/>
  <c r="T12" i="4"/>
  <c r="M12" i="2" s="1"/>
  <c r="AK29" i="4"/>
  <c r="AD29" i="2" s="1"/>
  <c r="AD27" i="4"/>
  <c r="W27" i="2" s="1"/>
  <c r="T25" i="4"/>
  <c r="M25" i="2" s="1"/>
  <c r="J23" i="4"/>
  <c r="C23" i="2" s="1"/>
  <c r="AH20" i="4"/>
  <c r="AA20" i="2" s="1"/>
  <c r="AD18" i="4"/>
  <c r="W18" i="2" s="1"/>
  <c r="S17" i="4"/>
  <c r="L17" i="2" s="1"/>
  <c r="N16" i="4"/>
  <c r="G16" i="2" s="1"/>
  <c r="AH14" i="4"/>
  <c r="AA14" i="2" s="1"/>
  <c r="AC13" i="4"/>
  <c r="V13" i="2" s="1"/>
  <c r="X12" i="4"/>
  <c r="Q12" i="2" s="1"/>
  <c r="S11" i="4"/>
  <c r="L11" i="2" s="1"/>
  <c r="N10" i="4"/>
  <c r="G10" i="2" s="1"/>
  <c r="K29" i="4"/>
  <c r="D29" i="2" s="1"/>
  <c r="Y26" i="4"/>
  <c r="R26" i="2" s="1"/>
  <c r="J24" i="4"/>
  <c r="C24" i="2" s="1"/>
  <c r="X21" i="4"/>
  <c r="Q21" i="2" s="1"/>
  <c r="Q19" i="4"/>
  <c r="J19" i="2" s="1"/>
  <c r="AD17" i="4"/>
  <c r="W17" i="2" s="1"/>
  <c r="Y16" i="4"/>
  <c r="R16" i="2" s="1"/>
  <c r="T15" i="4"/>
  <c r="M15" i="2" s="1"/>
  <c r="I14" i="4"/>
  <c r="B14" i="2" s="1"/>
  <c r="AI12" i="4"/>
  <c r="AB12" i="2" s="1"/>
  <c r="AD11" i="4"/>
  <c r="W11" i="2" s="1"/>
  <c r="Y10" i="4"/>
  <c r="R10" i="2" s="1"/>
  <c r="AJ28" i="4"/>
  <c r="AC28" i="2" s="1"/>
  <c r="N22" i="4"/>
  <c r="G22" i="2" s="1"/>
  <c r="O16" i="4"/>
  <c r="H16" i="2" s="1"/>
  <c r="Y27" i="4"/>
  <c r="R27" i="2" s="1"/>
  <c r="AG18" i="4"/>
  <c r="Z18" i="2" s="1"/>
  <c r="J15" i="4"/>
  <c r="C15" i="2" s="1"/>
  <c r="AA11" i="4"/>
  <c r="T11" i="2" s="1"/>
  <c r="W9" i="4"/>
  <c r="P9" i="2" s="1"/>
  <c r="L8" i="4"/>
  <c r="E8" i="2" s="1"/>
  <c r="AL6" i="4"/>
  <c r="AE6" i="2" s="1"/>
  <c r="AA5" i="4"/>
  <c r="T5" i="2" s="1"/>
  <c r="V4" i="4"/>
  <c r="O4" i="2" s="1"/>
  <c r="Q3" i="4"/>
  <c r="J3" i="2" s="1"/>
  <c r="L2" i="4"/>
  <c r="E2" i="2" s="1"/>
  <c r="AI23" i="4"/>
  <c r="AB23" i="2" s="1"/>
  <c r="AI17" i="4"/>
  <c r="AB17" i="2" s="1"/>
  <c r="T14" i="4"/>
  <c r="M14" i="2" s="1"/>
  <c r="N11" i="4"/>
  <c r="G11" i="2" s="1"/>
  <c r="AL8" i="4"/>
  <c r="AE8" i="2" s="1"/>
  <c r="AD7" i="4"/>
  <c r="W7" i="2" s="1"/>
  <c r="Y6" i="4"/>
  <c r="R6" i="2" s="1"/>
  <c r="T5" i="4"/>
  <c r="M5" i="2" s="1"/>
  <c r="I4" i="4"/>
  <c r="B4" i="2" s="1"/>
  <c r="AI2" i="4"/>
  <c r="AB2" i="2" s="1"/>
  <c r="L28" i="4"/>
  <c r="E28" i="2" s="1"/>
  <c r="O21" i="4"/>
  <c r="H21" i="2" s="1"/>
  <c r="U16" i="4"/>
  <c r="N16" i="2" s="1"/>
  <c r="V12" i="4"/>
  <c r="O12" i="2" s="1"/>
  <c r="AI9" i="4"/>
  <c r="AB9" i="2" s="1"/>
  <c r="U8" i="4"/>
  <c r="N8" i="2" s="1"/>
  <c r="P7" i="4"/>
  <c r="I7" i="2" s="1"/>
  <c r="K6" i="4"/>
  <c r="D6" i="2" s="1"/>
  <c r="AK4" i="4"/>
  <c r="AD4" i="2" s="1"/>
  <c r="AF3" i="4"/>
  <c r="Y3" i="2" s="1"/>
  <c r="U2" i="4"/>
  <c r="N2" i="2" s="1"/>
  <c r="O24" i="4"/>
  <c r="H24" i="2" s="1"/>
  <c r="O18" i="4"/>
  <c r="H18" i="2" s="1"/>
  <c r="AC14" i="4"/>
  <c r="V14" i="2" s="1"/>
  <c r="T11" i="4"/>
  <c r="M11" i="2" s="1"/>
  <c r="S9" i="4"/>
  <c r="L9" i="2" s="1"/>
  <c r="AG7" i="4"/>
  <c r="Z7" i="2" s="1"/>
  <c r="AB6" i="4"/>
  <c r="U6" i="2" s="1"/>
  <c r="W5" i="4"/>
  <c r="P5" i="2" s="1"/>
  <c r="R4" i="4"/>
  <c r="K4" i="2" s="1"/>
  <c r="M3" i="4"/>
  <c r="F3" i="2" s="1"/>
  <c r="J2" i="4"/>
  <c r="C2" i="2" s="1"/>
  <c r="Y5" i="4"/>
  <c r="R5" i="2" s="1"/>
  <c r="N9" i="4"/>
  <c r="G9" i="2" s="1"/>
  <c r="AF22" i="4"/>
  <c r="Y22" i="2" s="1"/>
  <c r="AG3" i="4"/>
  <c r="Z3" i="2" s="1"/>
  <c r="T7" i="4"/>
  <c r="M7" i="2" s="1"/>
  <c r="AH12" i="4"/>
  <c r="AA12" i="2" s="1"/>
  <c r="AI30" i="4"/>
  <c r="AB30" i="2" s="1"/>
  <c r="AD29" i="4"/>
  <c r="W29" i="2" s="1"/>
  <c r="Y28" i="4"/>
  <c r="R28" i="2" s="1"/>
  <c r="T27" i="4"/>
  <c r="M27" i="2" s="1"/>
  <c r="I26" i="4"/>
  <c r="B26" i="2" s="1"/>
  <c r="AI24" i="4"/>
  <c r="AB24" i="2" s="1"/>
  <c r="AD23" i="4"/>
  <c r="W23" i="2" s="1"/>
  <c r="Y22" i="4"/>
  <c r="R22" i="2" s="1"/>
  <c r="T21" i="4"/>
  <c r="M21" i="2" s="1"/>
  <c r="I20" i="4"/>
  <c r="B20" i="2" s="1"/>
  <c r="AL31" i="4"/>
  <c r="AE31" i="2" s="1"/>
  <c r="AE31" i="4"/>
  <c r="X31" i="2" s="1"/>
  <c r="Z30" i="4"/>
  <c r="S30" i="2" s="1"/>
  <c r="O29" i="4"/>
  <c r="H29" i="2" s="1"/>
  <c r="J28" i="4"/>
  <c r="C28" i="2" s="1"/>
  <c r="AJ26" i="4"/>
  <c r="AC26" i="2" s="1"/>
  <c r="AE25" i="4"/>
  <c r="X25" i="2" s="1"/>
  <c r="Z24" i="4"/>
  <c r="S24" i="2" s="1"/>
  <c r="O23" i="4"/>
  <c r="H23" i="2" s="1"/>
  <c r="J22" i="4"/>
  <c r="C22" i="2" s="1"/>
  <c r="AJ20" i="4"/>
  <c r="AC20" i="2" s="1"/>
  <c r="AE19" i="4"/>
  <c r="X19" i="2" s="1"/>
  <c r="Z18" i="4"/>
  <c r="S18" i="2" s="1"/>
  <c r="R31" i="4"/>
  <c r="K31" i="2" s="1"/>
  <c r="M30" i="4"/>
  <c r="F30" i="2" s="1"/>
  <c r="AG28" i="4"/>
  <c r="Z28" i="2" s="1"/>
  <c r="AB27" i="4"/>
  <c r="U27" i="2" s="1"/>
  <c r="W26" i="4"/>
  <c r="P26" i="2" s="1"/>
  <c r="R25" i="4"/>
  <c r="K25" i="2" s="1"/>
  <c r="M24" i="4"/>
  <c r="F24" i="2" s="1"/>
  <c r="AG22" i="4"/>
  <c r="Z22" i="2" s="1"/>
  <c r="AB21" i="4"/>
  <c r="U21" i="2" s="1"/>
  <c r="W20" i="4"/>
  <c r="P20" i="2" s="1"/>
  <c r="R19" i="4"/>
  <c r="K19" i="2" s="1"/>
  <c r="M18" i="4"/>
  <c r="F18" i="2" s="1"/>
  <c r="V29" i="4"/>
  <c r="O29" i="2" s="1"/>
  <c r="AE29" i="4"/>
  <c r="X29" i="2" s="1"/>
  <c r="L27" i="4"/>
  <c r="E27" i="2" s="1"/>
  <c r="AD24" i="4"/>
  <c r="W24" i="2" s="1"/>
  <c r="L22" i="4"/>
  <c r="E22" i="2" s="1"/>
  <c r="W19" i="4"/>
  <c r="P19" i="2" s="1"/>
  <c r="AH17" i="4"/>
  <c r="AA17" i="2" s="1"/>
  <c r="AC16" i="4"/>
  <c r="V16" i="2" s="1"/>
  <c r="X15" i="4"/>
  <c r="Q15" i="2" s="1"/>
  <c r="S14" i="4"/>
  <c r="L14" i="2" s="1"/>
  <c r="N13" i="4"/>
  <c r="G13" i="2" s="1"/>
  <c r="AH11" i="4"/>
  <c r="AA11" i="2" s="1"/>
  <c r="AC10" i="4"/>
  <c r="V10" i="2" s="1"/>
  <c r="X9" i="4"/>
  <c r="Q9" i="2" s="1"/>
  <c r="W31" i="4"/>
  <c r="P31" i="2" s="1"/>
  <c r="AL28" i="4"/>
  <c r="AE28" i="2" s="1"/>
  <c r="AE26" i="4"/>
  <c r="X26" i="2" s="1"/>
  <c r="P24" i="4"/>
  <c r="I24" i="2" s="1"/>
  <c r="AH10" i="4"/>
  <c r="AA10" i="2" s="1"/>
  <c r="V5" i="4"/>
  <c r="O5" i="2" s="1"/>
  <c r="Y20" i="4"/>
  <c r="R20" i="2" s="1"/>
  <c r="X16" i="4"/>
  <c r="Q16" i="2" s="1"/>
  <c r="K4" i="4"/>
  <c r="D4" i="2" s="1"/>
  <c r="AI4" i="4"/>
  <c r="AB4" i="2" s="1"/>
  <c r="K7" i="4"/>
  <c r="D7" i="2" s="1"/>
  <c r="AH5" i="4"/>
  <c r="AA5" i="2" s="1"/>
  <c r="M5" i="4"/>
  <c r="F5" i="2" s="1"/>
  <c r="AC8" i="4"/>
  <c r="V8" i="2" s="1"/>
  <c r="AC23" i="4"/>
  <c r="V23" i="2" s="1"/>
  <c r="J31" i="4"/>
  <c r="C31" i="2" s="1"/>
  <c r="AJ29" i="4"/>
  <c r="AC29" i="2" s="1"/>
  <c r="AE28" i="4"/>
  <c r="X28" i="2" s="1"/>
  <c r="Z27" i="4"/>
  <c r="S27" i="2" s="1"/>
  <c r="O26" i="4"/>
  <c r="H26" i="2" s="1"/>
  <c r="J25" i="4"/>
  <c r="C25" i="2" s="1"/>
  <c r="AJ23" i="4"/>
  <c r="AC23" i="2" s="1"/>
  <c r="AE22" i="4"/>
  <c r="X22" i="2" s="1"/>
  <c r="Z21" i="4"/>
  <c r="S21" i="2" s="1"/>
  <c r="O20" i="4"/>
  <c r="H20" i="2" s="1"/>
  <c r="O31" i="4"/>
  <c r="H31" i="2" s="1"/>
  <c r="AK31" i="4"/>
  <c r="AD31" i="2" s="1"/>
  <c r="AF30" i="4"/>
  <c r="Y30" i="2" s="1"/>
  <c r="U29" i="4"/>
  <c r="N29" i="2" s="1"/>
  <c r="P28" i="4"/>
  <c r="I28" i="2" s="1"/>
  <c r="K27" i="4"/>
  <c r="D27" i="2" s="1"/>
  <c r="AK25" i="4"/>
  <c r="AD25" i="2" s="1"/>
  <c r="AF24" i="4"/>
  <c r="Y24" i="2" s="1"/>
  <c r="U23" i="4"/>
  <c r="N23" i="2" s="1"/>
  <c r="P22" i="4"/>
  <c r="I22" i="2" s="1"/>
  <c r="K21" i="4"/>
  <c r="D21" i="2" s="1"/>
  <c r="AK19" i="4"/>
  <c r="AD19" i="2" s="1"/>
  <c r="AF18" i="4"/>
  <c r="Y18" i="2" s="1"/>
  <c r="X31" i="4"/>
  <c r="Q31" i="2" s="1"/>
  <c r="S30" i="4"/>
  <c r="L30" i="2" s="1"/>
  <c r="N29" i="4"/>
  <c r="G29" i="2" s="1"/>
  <c r="AH27" i="4"/>
  <c r="AA27" i="2" s="1"/>
  <c r="AC26" i="4"/>
  <c r="V26" i="2" s="1"/>
  <c r="X25" i="4"/>
  <c r="Q25" i="2" s="1"/>
  <c r="S24" i="4"/>
  <c r="L24" i="2" s="1"/>
  <c r="N23" i="4"/>
  <c r="G23" i="2" s="1"/>
  <c r="AH21" i="4"/>
  <c r="AA21" i="2" s="1"/>
  <c r="AC20" i="4"/>
  <c r="V20" i="2" s="1"/>
  <c r="X19" i="4"/>
  <c r="Q19" i="2" s="1"/>
  <c r="S18" i="4"/>
  <c r="L18" i="2" s="1"/>
  <c r="AH29" i="4"/>
  <c r="AA29" i="2" s="1"/>
  <c r="J30" i="4"/>
  <c r="C30" i="2" s="1"/>
  <c r="X27" i="4"/>
  <c r="Q27" i="2" s="1"/>
  <c r="N25" i="4"/>
  <c r="G25" i="2" s="1"/>
  <c r="X22" i="4"/>
  <c r="Q22" i="2" s="1"/>
  <c r="AG19" i="4"/>
  <c r="Z19" i="2" s="1"/>
  <c r="I18" i="4"/>
  <c r="B18" i="2" s="1"/>
  <c r="AI16" i="4"/>
  <c r="AB16" i="2" s="1"/>
  <c r="AD15" i="4"/>
  <c r="W15" i="2" s="1"/>
  <c r="Y14" i="4"/>
  <c r="R14" i="2" s="1"/>
  <c r="T13" i="4"/>
  <c r="M13" i="2" s="1"/>
  <c r="I12" i="4"/>
  <c r="B12" i="2" s="1"/>
  <c r="AI10" i="4"/>
  <c r="AB10" i="2" s="1"/>
  <c r="AD9" i="4"/>
  <c r="W9" i="2" s="1"/>
  <c r="Y8" i="4"/>
  <c r="R8" i="2" s="1"/>
  <c r="Q29" i="4"/>
  <c r="J29" i="2" s="1"/>
  <c r="I27" i="4"/>
  <c r="B27" i="2" s="1"/>
  <c r="AB24" i="4"/>
  <c r="U24" i="2" s="1"/>
  <c r="W22" i="4"/>
  <c r="P22" i="2" s="1"/>
  <c r="N20" i="4"/>
  <c r="G20" i="2" s="1"/>
  <c r="P18" i="4"/>
  <c r="I18" i="2" s="1"/>
  <c r="AH16" i="4"/>
  <c r="AA16" i="2" s="1"/>
  <c r="AC15" i="4"/>
  <c r="V15" i="2" s="1"/>
  <c r="X14" i="4"/>
  <c r="Q14" i="2" s="1"/>
  <c r="S13" i="4"/>
  <c r="L13" i="2" s="1"/>
  <c r="N12" i="4"/>
  <c r="G12" i="2" s="1"/>
  <c r="Y29" i="4"/>
  <c r="R29" i="2" s="1"/>
  <c r="R27" i="4"/>
  <c r="K27" i="2" s="1"/>
  <c r="AJ24" i="4"/>
  <c r="AC24" i="2" s="1"/>
  <c r="AD22" i="4"/>
  <c r="W22" i="2" s="1"/>
  <c r="V20" i="4"/>
  <c r="O20" i="2" s="1"/>
  <c r="V18" i="4"/>
  <c r="O18" i="2" s="1"/>
  <c r="M17" i="4"/>
  <c r="F17" i="2" s="1"/>
  <c r="AG15" i="4"/>
  <c r="Z15" i="2" s="1"/>
  <c r="AB14" i="4"/>
  <c r="U14" i="2" s="1"/>
  <c r="W13" i="4"/>
  <c r="P13" i="2" s="1"/>
  <c r="R12" i="4"/>
  <c r="K12" i="2" s="1"/>
  <c r="M11" i="4"/>
  <c r="F11" i="2" s="1"/>
  <c r="I31" i="4"/>
  <c r="B31" i="2" s="1"/>
  <c r="AF28" i="4"/>
  <c r="Y28" i="2" s="1"/>
  <c r="M26" i="4"/>
  <c r="F26" i="2" s="1"/>
  <c r="AE23" i="4"/>
  <c r="X23" i="2" s="1"/>
  <c r="L21" i="4"/>
  <c r="E21" i="2" s="1"/>
  <c r="I19" i="4"/>
  <c r="B19" i="2" s="1"/>
  <c r="X17" i="4"/>
  <c r="Q17" i="2" s="1"/>
  <c r="S16" i="4"/>
  <c r="L16" i="2" s="1"/>
  <c r="N15" i="4"/>
  <c r="G15" i="2" s="1"/>
  <c r="AH13" i="4"/>
  <c r="AA13" i="2" s="1"/>
  <c r="AC12" i="4"/>
  <c r="V12" i="2" s="1"/>
  <c r="X11" i="4"/>
  <c r="Q11" i="2" s="1"/>
  <c r="S10" i="4"/>
  <c r="L10" i="2" s="1"/>
  <c r="AE27" i="4"/>
  <c r="X27" i="2" s="1"/>
  <c r="AI19" i="4"/>
  <c r="AB19" i="2" s="1"/>
  <c r="AE15" i="4"/>
  <c r="X15" i="2" s="1"/>
  <c r="P26" i="4"/>
  <c r="I26" i="2" s="1"/>
  <c r="AL17" i="4"/>
  <c r="AE17" i="2" s="1"/>
  <c r="W14" i="4"/>
  <c r="P14" i="2" s="1"/>
  <c r="O11" i="4"/>
  <c r="H11" i="2" s="1"/>
  <c r="P9" i="4"/>
  <c r="I9" i="2" s="1"/>
  <c r="AK7" i="4"/>
  <c r="AD7" i="2" s="1"/>
  <c r="AF6" i="4"/>
  <c r="Y6" i="2" s="1"/>
  <c r="U5" i="4"/>
  <c r="N5" i="2" s="1"/>
  <c r="P4" i="4"/>
  <c r="I4" i="2" s="1"/>
  <c r="K3" i="4"/>
  <c r="D3" i="2" s="1"/>
  <c r="R30" i="4"/>
  <c r="K30" i="2" s="1"/>
  <c r="AL22" i="4"/>
  <c r="AE22" i="2" s="1"/>
  <c r="Q17" i="4"/>
  <c r="J17" i="2" s="1"/>
  <c r="AD13" i="4"/>
  <c r="W13" i="2" s="1"/>
  <c r="AD10" i="4"/>
  <c r="W10" i="2" s="1"/>
  <c r="AD8" i="4"/>
  <c r="W8" i="2" s="1"/>
  <c r="X7" i="4"/>
  <c r="Q7" i="2" s="1"/>
  <c r="S6" i="4"/>
  <c r="L6" i="2" s="1"/>
  <c r="N5" i="4"/>
  <c r="G5" i="2" s="1"/>
  <c r="AH3" i="4"/>
  <c r="AA3" i="2" s="1"/>
  <c r="AC2" i="4"/>
  <c r="V2" i="2" s="1"/>
  <c r="AH26" i="4"/>
  <c r="AA26" i="2" s="1"/>
  <c r="S20" i="4"/>
  <c r="L20" i="2" s="1"/>
  <c r="AK15" i="4"/>
  <c r="AD15" i="2" s="1"/>
  <c r="AI11" i="4"/>
  <c r="AB11" i="2" s="1"/>
  <c r="AA9" i="4"/>
  <c r="T9" i="2" s="1"/>
  <c r="O8" i="4"/>
  <c r="H8" i="2" s="1"/>
  <c r="J7" i="4"/>
  <c r="C7" i="2" s="1"/>
  <c r="AJ5" i="4"/>
  <c r="AC5" i="2" s="1"/>
  <c r="AE4" i="4"/>
  <c r="X4" i="2" s="1"/>
  <c r="Z3" i="4"/>
  <c r="S3" i="2" s="1"/>
  <c r="O2" i="4"/>
  <c r="H2" i="2" s="1"/>
  <c r="Q23" i="4"/>
  <c r="J23" i="2" s="1"/>
  <c r="Z17" i="4"/>
  <c r="S17" i="2" s="1"/>
  <c r="K14" i="4"/>
  <c r="D14" i="2" s="1"/>
  <c r="AJ10" i="4"/>
  <c r="AC10" i="2" s="1"/>
  <c r="K9" i="4"/>
  <c r="D9" i="2" s="1"/>
  <c r="AA7" i="4"/>
  <c r="T7" i="2" s="1"/>
  <c r="V6" i="4"/>
  <c r="O6" i="2" s="1"/>
  <c r="Q5" i="4"/>
  <c r="J5" i="2" s="1"/>
  <c r="L4" i="4"/>
  <c r="E4" i="2" s="1"/>
  <c r="AL2" i="4"/>
  <c r="AE2" i="2" s="1"/>
  <c r="AB2" i="4"/>
  <c r="U2" i="2" s="1"/>
  <c r="I6" i="4"/>
  <c r="B6" i="2" s="1"/>
  <c r="AK9" i="4"/>
  <c r="AD9" i="2" s="1"/>
  <c r="M27" i="4"/>
  <c r="F27" i="2" s="1"/>
  <c r="W4" i="4"/>
  <c r="P4" i="2" s="1"/>
  <c r="AL7" i="4"/>
  <c r="AE7" i="2" s="1"/>
  <c r="Q14" i="4"/>
  <c r="J14" i="2" s="1"/>
  <c r="P2" i="4"/>
  <c r="I2" i="2" s="1"/>
  <c r="AE5" i="4"/>
  <c r="X5" i="2" s="1"/>
  <c r="U9" i="4"/>
  <c r="N9" i="2" s="1"/>
  <c r="AC7" i="4"/>
  <c r="V7" i="2" s="1"/>
  <c r="V15" i="4"/>
  <c r="O15" i="2" s="1"/>
  <c r="AB10" i="4"/>
  <c r="U10" i="2" s="1"/>
  <c r="Y2" i="4"/>
  <c r="R2" i="2" s="1"/>
  <c r="AA3" i="4"/>
  <c r="T3" i="2" s="1"/>
  <c r="AK5" i="4"/>
  <c r="AD5" i="2" s="1"/>
  <c r="AF7" i="4"/>
  <c r="Y7" i="2" s="1"/>
  <c r="W18" i="4"/>
  <c r="P18" i="2" s="1"/>
  <c r="AH2" i="4"/>
  <c r="AA2" i="2" s="1"/>
  <c r="Q9" i="4"/>
  <c r="J9" i="2" s="1"/>
  <c r="Y12" i="4"/>
  <c r="R12" i="2" s="1"/>
  <c r="Z2" i="4"/>
  <c r="S2" i="2" s="1"/>
  <c r="J6" i="4"/>
  <c r="C6" i="2" s="1"/>
  <c r="L10" i="4"/>
  <c r="E10" i="2" s="1"/>
  <c r="I21" i="4"/>
  <c r="B21" i="2" s="1"/>
  <c r="S4" i="4"/>
  <c r="L4" i="2" s="1"/>
  <c r="AH7" i="4"/>
  <c r="AA7" i="2" s="1"/>
  <c r="AF14" i="4"/>
  <c r="Y14" i="2" s="1"/>
  <c r="Q2" i="4"/>
  <c r="J2" i="2" s="1"/>
  <c r="AL5" i="4"/>
  <c r="AE5" i="2" s="1"/>
  <c r="AC9" i="4"/>
  <c r="V9" i="2" s="1"/>
  <c r="AE20" i="4"/>
  <c r="X20" i="2" s="1"/>
  <c r="AI3" i="4"/>
  <c r="AB3" i="2" s="1"/>
  <c r="Y7" i="4"/>
  <c r="R7" i="2" s="1"/>
  <c r="O13" i="4"/>
  <c r="H13" i="2" s="1"/>
  <c r="Z14" i="4"/>
  <c r="S14" i="2" s="1"/>
  <c r="AL9" i="4"/>
  <c r="AE9" i="2" s="1"/>
  <c r="V13" i="4"/>
  <c r="O13" i="2" s="1"/>
  <c r="L17" i="4"/>
  <c r="E17" i="2" s="1"/>
  <c r="AC22" i="4"/>
  <c r="V22" i="2" s="1"/>
  <c r="O30" i="4"/>
  <c r="H30" i="2" s="1"/>
  <c r="K13" i="4"/>
  <c r="D13" i="2" s="1"/>
  <c r="AF16" i="4"/>
  <c r="Y16" i="2" s="1"/>
  <c r="J20" i="4"/>
  <c r="C20" i="2" s="1"/>
  <c r="AL26" i="4"/>
  <c r="AE26" i="2" s="1"/>
  <c r="M13" i="4"/>
  <c r="F13" i="2" s="1"/>
  <c r="AB16" i="4"/>
  <c r="U16" i="2" s="1"/>
  <c r="K22" i="4"/>
  <c r="D22" i="2" s="1"/>
  <c r="W10" i="4"/>
  <c r="P10" i="2" s="1"/>
  <c r="W16" i="4"/>
  <c r="P16" i="2" s="1"/>
  <c r="AF26" i="4"/>
  <c r="Y26" i="2" s="1"/>
  <c r="V21" i="4"/>
  <c r="O21" i="2" s="1"/>
  <c r="AA28" i="4"/>
  <c r="T28" i="2" s="1"/>
  <c r="AI21" i="4"/>
  <c r="AB21" i="2" s="1"/>
  <c r="I29" i="4"/>
  <c r="B29" i="2" s="1"/>
  <c r="S22" i="4"/>
  <c r="L22" i="2" s="1"/>
  <c r="X29" i="4"/>
  <c r="Q29" i="2" s="1"/>
  <c r="Z7" i="4"/>
  <c r="S7" i="2" s="1"/>
  <c r="R28" i="4"/>
  <c r="K28" i="2" s="1"/>
  <c r="AJ4" i="4"/>
  <c r="AC4" i="2" s="1"/>
  <c r="R16" i="4"/>
  <c r="K16" i="2" s="1"/>
  <c r="I11" i="4"/>
  <c r="B11" i="2" s="1"/>
  <c r="AA4" i="4"/>
  <c r="T4" i="2" s="1"/>
  <c r="AD2" i="4"/>
  <c r="W2" i="2" s="1"/>
  <c r="U10" i="4"/>
  <c r="N10" i="2" s="1"/>
  <c r="Q12" i="4"/>
  <c r="J12" i="2" s="1"/>
  <c r="T20" i="4"/>
  <c r="M20" i="2" s="1"/>
  <c r="AK11" i="4"/>
  <c r="AD11" i="2" s="1"/>
  <c r="X24" i="4"/>
  <c r="Q24" i="2" s="1"/>
  <c r="W15" i="4"/>
  <c r="P15" i="2" s="1"/>
  <c r="AG30" i="4"/>
  <c r="Z30" i="2" s="1"/>
  <c r="AE21" i="4"/>
  <c r="X21" i="2" s="1"/>
  <c r="Q26" i="4"/>
  <c r="J26" i="2" s="1"/>
  <c r="AD26" i="4"/>
  <c r="W26" i="2" s="1"/>
  <c r="N27" i="4"/>
  <c r="G27" i="2" s="1"/>
  <c r="R3" i="4"/>
  <c r="K3" i="2" s="1"/>
  <c r="W11" i="4"/>
  <c r="P11" i="2" s="1"/>
  <c r="Z8" i="4"/>
  <c r="S8" i="2" s="1"/>
  <c r="K11" i="4"/>
  <c r="D11" i="2" s="1"/>
  <c r="AF2" i="4"/>
  <c r="Y2" i="2" s="1"/>
  <c r="P6" i="4"/>
  <c r="I6" i="2" s="1"/>
  <c r="X10" i="4"/>
  <c r="Q10" i="2" s="1"/>
  <c r="T22" i="4"/>
  <c r="M22" i="2" s="1"/>
  <c r="Y4" i="4"/>
  <c r="R4" i="2" s="1"/>
  <c r="I8" i="4"/>
  <c r="B8" i="2" s="1"/>
  <c r="S15" i="4"/>
  <c r="L15" i="2" s="1"/>
  <c r="W2" i="4"/>
  <c r="P2" i="2" s="1"/>
  <c r="M6" i="4"/>
  <c r="F6" i="2" s="1"/>
  <c r="R10" i="4"/>
  <c r="K10" i="2" s="1"/>
  <c r="AA21" i="4"/>
  <c r="T21" i="2" s="1"/>
  <c r="J4" i="4"/>
  <c r="C4" i="2" s="1"/>
  <c r="AE7" i="4"/>
  <c r="X7" i="2" s="1"/>
  <c r="AG13" i="4"/>
  <c r="Z13" i="2" s="1"/>
  <c r="M15" i="4"/>
  <c r="F15" i="2" s="1"/>
  <c r="M10" i="4"/>
  <c r="F10" i="2" s="1"/>
  <c r="AB13" i="4"/>
  <c r="U13" i="2" s="1"/>
  <c r="R17" i="4"/>
  <c r="K17" i="2" s="1"/>
  <c r="S23" i="4"/>
  <c r="L23" i="2" s="1"/>
  <c r="AA30" i="4"/>
  <c r="T30" i="2" s="1"/>
  <c r="Q13" i="4"/>
  <c r="J13" i="2" s="1"/>
  <c r="AL16" i="4"/>
  <c r="AE16" i="2" s="1"/>
  <c r="AK21" i="4"/>
  <c r="AD21" i="2" s="1"/>
  <c r="AI28" i="4"/>
  <c r="AB28" i="2" s="1"/>
  <c r="L14" i="4"/>
  <c r="E14" i="2" s="1"/>
  <c r="AA17" i="4"/>
  <c r="T17" i="2" s="1"/>
  <c r="AK23" i="4"/>
  <c r="AD23" i="2" s="1"/>
  <c r="S29" i="4"/>
  <c r="L29" i="2" s="1"/>
  <c r="AA22" i="4"/>
  <c r="T22" i="2" s="1"/>
  <c r="AL29" i="4"/>
  <c r="AE29" i="2" s="1"/>
  <c r="I23" i="4"/>
  <c r="B23" i="2" s="1"/>
  <c r="T30" i="4"/>
  <c r="M30" i="2" s="1"/>
  <c r="X23" i="4"/>
  <c r="Q23" i="2" s="1"/>
  <c r="AC30" i="4"/>
  <c r="V30" i="2" s="1"/>
  <c r="AC11" i="4"/>
  <c r="V11" i="2" s="1"/>
  <c r="C78" i="3"/>
  <c r="G78" i="3"/>
  <c r="F78" i="3"/>
  <c r="E78" i="3"/>
  <c r="D78" i="3"/>
  <c r="C54" i="3"/>
  <c r="G54" i="3"/>
  <c r="F54" i="3"/>
  <c r="E54" i="3"/>
  <c r="D54" i="3"/>
  <c r="M2" i="4"/>
  <c r="F2" i="2" s="1"/>
  <c r="N3" i="4"/>
  <c r="G3" i="2" s="1"/>
  <c r="Q8" i="4"/>
  <c r="J8" i="2" s="1"/>
  <c r="O25" i="4"/>
  <c r="H25" i="2" s="1"/>
  <c r="C85" i="3"/>
  <c r="G85" i="3"/>
  <c r="F85" i="3"/>
  <c r="D85" i="3"/>
  <c r="E85" i="3"/>
  <c r="L3" i="4"/>
  <c r="E3" i="2" s="1"/>
  <c r="K5" i="4"/>
  <c r="D5" i="2" s="1"/>
  <c r="AH8" i="4"/>
  <c r="AA8" i="2" s="1"/>
  <c r="AJ16" i="4"/>
  <c r="AC16" i="2" s="1"/>
  <c r="T3" i="4"/>
  <c r="M3" i="2" s="1"/>
  <c r="AI6" i="4"/>
  <c r="AB6" i="2" s="1"/>
  <c r="U11" i="4"/>
  <c r="N11" i="2" s="1"/>
  <c r="AA25" i="4"/>
  <c r="T25" i="2" s="1"/>
  <c r="AG4" i="4"/>
  <c r="Z4" i="2" s="1"/>
  <c r="W8" i="4"/>
  <c r="P8" i="2" s="1"/>
  <c r="AA16" i="4"/>
  <c r="T16" i="2" s="1"/>
  <c r="AJ2" i="4"/>
  <c r="AC2" i="2" s="1"/>
  <c r="Z6" i="4"/>
  <c r="S6" i="2" s="1"/>
  <c r="AG10" i="4"/>
  <c r="Z10" i="2" s="1"/>
  <c r="I25" i="4"/>
  <c r="B25" i="2" s="1"/>
  <c r="V26" i="4"/>
  <c r="O26" i="2" s="1"/>
  <c r="W12" i="4"/>
  <c r="P12" i="2" s="1"/>
  <c r="M16" i="4"/>
  <c r="F16" i="2" s="1"/>
  <c r="AF20" i="4"/>
  <c r="Y20" i="2" s="1"/>
  <c r="T28" i="4"/>
  <c r="M28" i="2" s="1"/>
  <c r="L12" i="4"/>
  <c r="E12" i="2" s="1"/>
  <c r="AA15" i="4"/>
  <c r="T15" i="2" s="1"/>
  <c r="AB19" i="4"/>
  <c r="U19" i="2" s="1"/>
  <c r="Z26" i="4"/>
  <c r="S26" i="2" s="1"/>
  <c r="AL12" i="4"/>
  <c r="AE12" i="2" s="1"/>
  <c r="V16" i="4"/>
  <c r="O16" i="2" s="1"/>
  <c r="AD21" i="4"/>
  <c r="W21" i="2" s="1"/>
  <c r="R9" i="4"/>
  <c r="K9" i="2" s="1"/>
  <c r="R15" i="4"/>
  <c r="K15" i="2" s="1"/>
  <c r="R24" i="4"/>
  <c r="K24" i="2" s="1"/>
  <c r="Q20" i="4"/>
  <c r="J20" i="2" s="1"/>
  <c r="V27" i="4"/>
  <c r="O27" i="2" s="1"/>
  <c r="AD20" i="4"/>
  <c r="W20" i="2" s="1"/>
  <c r="AI27" i="4"/>
  <c r="AB27" i="2" s="1"/>
  <c r="N21" i="4"/>
  <c r="G21" i="2" s="1"/>
  <c r="S28" i="4"/>
  <c r="L28" i="2" s="1"/>
  <c r="AG9" i="4"/>
  <c r="Z9" i="2" s="1"/>
  <c r="G97" i="3"/>
  <c r="D97" i="3"/>
  <c r="E97" i="3"/>
  <c r="C97" i="3"/>
  <c r="F97" i="3"/>
  <c r="D65" i="3"/>
  <c r="C65" i="3"/>
  <c r="E65" i="3"/>
  <c r="F65" i="3"/>
  <c r="G65" i="3"/>
  <c r="D40" i="3"/>
  <c r="C40" i="3"/>
  <c r="E40" i="3"/>
  <c r="G40" i="3"/>
  <c r="F40" i="3"/>
  <c r="G62" i="3"/>
  <c r="F62" i="3"/>
  <c r="E62" i="3"/>
  <c r="D62" i="3"/>
  <c r="C62" i="3"/>
  <c r="E94" i="3"/>
  <c r="G94" i="3"/>
  <c r="D94" i="3"/>
  <c r="C94" i="3"/>
  <c r="F94" i="3"/>
  <c r="G67" i="3"/>
  <c r="F67" i="3"/>
  <c r="E67" i="3"/>
  <c r="C67" i="3"/>
  <c r="D67" i="3"/>
  <c r="C41" i="3"/>
  <c r="F41" i="3"/>
  <c r="E41" i="3"/>
  <c r="D41" i="3"/>
  <c r="G41" i="3"/>
  <c r="C48" i="3"/>
  <c r="G48" i="3"/>
  <c r="F48" i="3"/>
  <c r="E48" i="3"/>
  <c r="D48" i="3"/>
  <c r="C23" i="3"/>
  <c r="G23" i="3"/>
  <c r="E23" i="3"/>
  <c r="D23" i="3"/>
  <c r="F23" i="3"/>
  <c r="C5" i="3"/>
  <c r="G5" i="3"/>
  <c r="E5" i="3"/>
  <c r="D5" i="3"/>
  <c r="F5" i="3"/>
  <c r="E52" i="3"/>
  <c r="D52" i="3"/>
  <c r="C52" i="3"/>
  <c r="G52" i="3"/>
  <c r="F52" i="3"/>
  <c r="F38" i="3"/>
  <c r="E38" i="3"/>
  <c r="G38" i="3"/>
  <c r="D38" i="3"/>
  <c r="C38" i="3"/>
  <c r="F8" i="3"/>
  <c r="D8" i="3"/>
  <c r="G8" i="3"/>
  <c r="C8" i="3"/>
  <c r="E8" i="3"/>
  <c r="F81" i="3"/>
  <c r="E81" i="3"/>
  <c r="D81" i="3"/>
  <c r="G81" i="3"/>
  <c r="C81" i="3"/>
  <c r="D34" i="3"/>
  <c r="C34" i="3"/>
  <c r="E34" i="3"/>
  <c r="G34" i="3"/>
  <c r="F34" i="3"/>
  <c r="F93" i="3"/>
  <c r="D93" i="3"/>
  <c r="C93" i="3"/>
  <c r="G93" i="3"/>
  <c r="E93" i="3"/>
  <c r="D59" i="3"/>
  <c r="C59" i="3"/>
  <c r="E59" i="3"/>
  <c r="F59" i="3"/>
  <c r="G59" i="3"/>
  <c r="C90" i="3"/>
  <c r="E90" i="3"/>
  <c r="G90" i="3"/>
  <c r="F90" i="3"/>
  <c r="D90" i="3"/>
  <c r="G68" i="3"/>
  <c r="F68" i="3"/>
  <c r="E68" i="3"/>
  <c r="D68" i="3"/>
  <c r="C68" i="3"/>
  <c r="G104" i="3"/>
  <c r="F104" i="3"/>
  <c r="D104" i="3"/>
  <c r="C104" i="3"/>
  <c r="E104" i="3"/>
  <c r="G73" i="3"/>
  <c r="F73" i="3"/>
  <c r="E73" i="3"/>
  <c r="C73" i="3"/>
  <c r="D73" i="3"/>
  <c r="C35" i="3"/>
  <c r="F35" i="3"/>
  <c r="E35" i="3"/>
  <c r="D35" i="3"/>
  <c r="G35" i="3"/>
  <c r="E39" i="3"/>
  <c r="D39" i="3"/>
  <c r="F39" i="3"/>
  <c r="C39" i="3"/>
  <c r="G39" i="3"/>
  <c r="D22" i="3"/>
  <c r="E22" i="3"/>
  <c r="C22" i="3"/>
  <c r="G22" i="3"/>
  <c r="F22" i="3"/>
  <c r="D4" i="3"/>
  <c r="E4" i="3"/>
  <c r="C4" i="3"/>
  <c r="G4" i="3"/>
  <c r="F4" i="3"/>
  <c r="F32" i="3"/>
  <c r="E32" i="3"/>
  <c r="G32" i="3"/>
  <c r="C32" i="3"/>
  <c r="D32" i="3"/>
  <c r="F20" i="3"/>
  <c r="D20" i="3"/>
  <c r="G20" i="3"/>
  <c r="C20" i="3"/>
  <c r="E20" i="3"/>
  <c r="F6" i="3"/>
  <c r="G6" i="3"/>
  <c r="E6" i="3"/>
  <c r="D6" i="3"/>
  <c r="C6" i="3"/>
  <c r="F99" i="3"/>
  <c r="E99" i="3"/>
  <c r="G99" i="3"/>
  <c r="D99" i="3"/>
  <c r="C99" i="3"/>
  <c r="C96" i="3"/>
  <c r="E96" i="3"/>
  <c r="F96" i="3"/>
  <c r="D96" i="3"/>
  <c r="G96" i="3"/>
  <c r="F87" i="3"/>
  <c r="D87" i="3"/>
  <c r="C87" i="3"/>
  <c r="G87" i="3"/>
  <c r="E87" i="3"/>
  <c r="D53" i="3"/>
  <c r="C53" i="3"/>
  <c r="E53" i="3"/>
  <c r="G53" i="3"/>
  <c r="F53" i="3"/>
  <c r="G98" i="3"/>
  <c r="F98" i="3"/>
  <c r="C98" i="3"/>
  <c r="E98" i="3"/>
  <c r="D98" i="3"/>
  <c r="G74" i="3"/>
  <c r="F74" i="3"/>
  <c r="E74" i="3"/>
  <c r="D74" i="3"/>
  <c r="C74" i="3"/>
  <c r="G43" i="3"/>
  <c r="F43" i="3"/>
  <c r="E43" i="3"/>
  <c r="D43" i="3"/>
  <c r="C43" i="3"/>
  <c r="G79" i="3"/>
  <c r="F79" i="3"/>
  <c r="E79" i="3"/>
  <c r="D79" i="3"/>
  <c r="C79" i="3"/>
  <c r="G37" i="3"/>
  <c r="F37" i="3"/>
  <c r="E37" i="3"/>
  <c r="D37" i="3"/>
  <c r="C37" i="3"/>
  <c r="C17" i="3"/>
  <c r="G17" i="3"/>
  <c r="E17" i="3"/>
  <c r="D17" i="3"/>
  <c r="F17" i="3"/>
  <c r="F105" i="3"/>
  <c r="E105" i="3"/>
  <c r="C105" i="3"/>
  <c r="D105" i="3"/>
  <c r="G105" i="3"/>
  <c r="F63" i="3"/>
  <c r="E63" i="3"/>
  <c r="D63" i="3"/>
  <c r="G63" i="3"/>
  <c r="C63" i="3"/>
  <c r="F30" i="3"/>
  <c r="G30" i="3"/>
  <c r="E30" i="3"/>
  <c r="D30" i="3"/>
  <c r="C30" i="3"/>
  <c r="F18" i="3"/>
  <c r="G18" i="3"/>
  <c r="E18" i="3"/>
  <c r="D18" i="3"/>
  <c r="C18" i="3"/>
  <c r="C102" i="3"/>
  <c r="F102" i="3"/>
  <c r="E102" i="3"/>
  <c r="G102" i="3"/>
  <c r="D102" i="3"/>
  <c r="D91" i="3"/>
  <c r="G91" i="3"/>
  <c r="F91" i="3"/>
  <c r="C91" i="3"/>
  <c r="E91" i="3"/>
  <c r="D83" i="3"/>
  <c r="C83" i="3"/>
  <c r="E83" i="3"/>
  <c r="F83" i="3"/>
  <c r="G83" i="3"/>
  <c r="D47" i="3"/>
  <c r="C47" i="3"/>
  <c r="E47" i="3"/>
  <c r="G47" i="3"/>
  <c r="F47" i="3"/>
  <c r="C72" i="3"/>
  <c r="G72" i="3"/>
  <c r="F72" i="3"/>
  <c r="E72" i="3"/>
  <c r="D72" i="3"/>
  <c r="G44" i="3"/>
  <c r="F44" i="3"/>
  <c r="E44" i="3"/>
  <c r="D44" i="3"/>
  <c r="C44" i="3"/>
  <c r="G80" i="3"/>
  <c r="F80" i="3"/>
  <c r="E80" i="3"/>
  <c r="D80" i="3"/>
  <c r="C80" i="3"/>
  <c r="G49" i="3"/>
  <c r="F49" i="3"/>
  <c r="E49" i="3"/>
  <c r="C49" i="3"/>
  <c r="D49" i="3"/>
  <c r="G86" i="3"/>
  <c r="C86" i="3"/>
  <c r="D86" i="3"/>
  <c r="F86" i="3"/>
  <c r="E86" i="3"/>
  <c r="G103" i="3"/>
  <c r="E103" i="3"/>
  <c r="D103" i="3"/>
  <c r="F103" i="3"/>
  <c r="C103" i="3"/>
  <c r="E33" i="3"/>
  <c r="D33" i="3"/>
  <c r="F33" i="3"/>
  <c r="C33" i="3"/>
  <c r="G33" i="3"/>
  <c r="D16" i="3"/>
  <c r="E16" i="3"/>
  <c r="C16" i="3"/>
  <c r="G16" i="3"/>
  <c r="F16" i="3"/>
  <c r="D95" i="3"/>
  <c r="C95" i="3"/>
  <c r="F95" i="3"/>
  <c r="G95" i="3"/>
  <c r="E95" i="3"/>
  <c r="F75" i="3"/>
  <c r="E75" i="3"/>
  <c r="D75" i="3"/>
  <c r="G75" i="3"/>
  <c r="C75" i="3"/>
  <c r="F2" i="3"/>
  <c r="D2" i="3"/>
  <c r="G2" i="3"/>
  <c r="C2" i="3"/>
  <c r="E2" i="3"/>
  <c r="G50" i="3"/>
  <c r="F50" i="3"/>
  <c r="E50" i="3"/>
  <c r="D50" i="3"/>
  <c r="C50" i="3"/>
  <c r="D101" i="3"/>
  <c r="C101" i="3"/>
  <c r="G101" i="3"/>
  <c r="F101" i="3"/>
  <c r="E101" i="3"/>
  <c r="G55" i="3"/>
  <c r="F55" i="3"/>
  <c r="E55" i="3"/>
  <c r="D55" i="3"/>
  <c r="C55" i="3"/>
  <c r="G92" i="3"/>
  <c r="C92" i="3"/>
  <c r="D92" i="3"/>
  <c r="F92" i="3"/>
  <c r="E92" i="3"/>
  <c r="F69" i="3"/>
  <c r="E69" i="3"/>
  <c r="D69" i="3"/>
  <c r="G69" i="3"/>
  <c r="C69" i="3"/>
  <c r="C84" i="3"/>
  <c r="G84" i="3"/>
  <c r="F84" i="3"/>
  <c r="E84" i="3"/>
  <c r="D84" i="3"/>
  <c r="C29" i="3"/>
  <c r="G29" i="3"/>
  <c r="E29" i="3"/>
  <c r="D29" i="3"/>
  <c r="F29" i="3"/>
  <c r="C11" i="3"/>
  <c r="G11" i="3"/>
  <c r="E11" i="3"/>
  <c r="D11" i="3"/>
  <c r="F11" i="3"/>
  <c r="E76" i="3"/>
  <c r="D76" i="3"/>
  <c r="C76" i="3"/>
  <c r="G76" i="3"/>
  <c r="F76" i="3"/>
  <c r="E70" i="3"/>
  <c r="D70" i="3"/>
  <c r="C70" i="3"/>
  <c r="G70" i="3"/>
  <c r="F70" i="3"/>
  <c r="F26" i="3"/>
  <c r="D26" i="3"/>
  <c r="G26" i="3"/>
  <c r="C26" i="3"/>
  <c r="E26" i="3"/>
  <c r="F14" i="3"/>
  <c r="D14" i="3"/>
  <c r="G14" i="3"/>
  <c r="C14" i="3"/>
  <c r="E14" i="3"/>
  <c r="E46" i="3"/>
  <c r="D46" i="3"/>
  <c r="C46" i="3"/>
  <c r="G46" i="3"/>
  <c r="F46" i="3"/>
  <c r="E82" i="3"/>
  <c r="D82" i="3"/>
  <c r="C82" i="3"/>
  <c r="G82" i="3"/>
  <c r="F82" i="3"/>
  <c r="D71" i="3"/>
  <c r="C71" i="3"/>
  <c r="E71" i="3"/>
  <c r="G71" i="3"/>
  <c r="F71" i="3"/>
  <c r="G56" i="3"/>
  <c r="F56" i="3"/>
  <c r="E56" i="3"/>
  <c r="D56" i="3"/>
  <c r="C56" i="3"/>
  <c r="E88" i="3"/>
  <c r="G88" i="3"/>
  <c r="D88" i="3"/>
  <c r="C88" i="3"/>
  <c r="F88" i="3"/>
  <c r="G61" i="3"/>
  <c r="F61" i="3"/>
  <c r="E61" i="3"/>
  <c r="D61" i="3"/>
  <c r="C61" i="3"/>
  <c r="E100" i="3"/>
  <c r="D100" i="3"/>
  <c r="G100" i="3"/>
  <c r="F100" i="3"/>
  <c r="C100" i="3"/>
  <c r="F51" i="3"/>
  <c r="E51" i="3"/>
  <c r="D51" i="3"/>
  <c r="G51" i="3"/>
  <c r="C51" i="3"/>
  <c r="C66" i="3"/>
  <c r="G66" i="3"/>
  <c r="F66" i="3"/>
  <c r="E66" i="3"/>
  <c r="D66" i="3"/>
  <c r="D28" i="3"/>
  <c r="E28" i="3"/>
  <c r="C28" i="3"/>
  <c r="G28" i="3"/>
  <c r="F28" i="3"/>
  <c r="D10" i="3"/>
  <c r="E10" i="3"/>
  <c r="C10" i="3"/>
  <c r="G10" i="3"/>
  <c r="F10" i="3"/>
  <c r="E64" i="3"/>
  <c r="D64" i="3"/>
  <c r="C64" i="3"/>
  <c r="G64" i="3"/>
  <c r="F64" i="3"/>
  <c r="E58" i="3"/>
  <c r="D58" i="3"/>
  <c r="C58" i="3"/>
  <c r="G58" i="3"/>
  <c r="F58" i="3"/>
  <c r="F24" i="3"/>
  <c r="G24" i="3"/>
  <c r="E24" i="3"/>
  <c r="D24" i="3"/>
  <c r="C24" i="3"/>
  <c r="F12" i="3"/>
  <c r="G12" i="3"/>
  <c r="E12" i="3"/>
  <c r="D12" i="3"/>
  <c r="C12" i="3"/>
  <c r="C60" i="3"/>
  <c r="G60" i="3"/>
  <c r="F60" i="3"/>
  <c r="E60" i="3"/>
  <c r="D60" i="3"/>
  <c r="F57" i="3"/>
  <c r="E57" i="3"/>
  <c r="D57" i="3"/>
  <c r="G57" i="3"/>
  <c r="C57" i="3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8" i="1"/>
  <c r="K28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<sst xmlns="http://schemas.openxmlformats.org/spreadsheetml/2006/main" count="266" uniqueCount="162">
  <si>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</si>
  <si>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</si>
  <si>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</si>
  <si>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</si>
  <si>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</si>
  <si>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</si>
  <si>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</si>
  <si>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</si>
  <si>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</si>
  <si>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</si>
  <si>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</si>
  <si>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</si>
  <si>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</si>
  <si>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</si>
  <si>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</si>
  <si>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</si>
  <si>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</si>
  <si>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</si>
  <si>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</si>
  <si>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</si>
  <si>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</si>
  <si>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</si>
  <si>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</si>
  <si>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</si>
  <si>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</si>
  <si>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</si>
  <si>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</si>
  <si>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</si>
  <si>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</si>
  <si>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</si>
  <si>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</si>
  <si>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</si>
  <si>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</si>
  <si>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</si>
  <si>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</si>
  <si>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</si>
  <si>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</si>
  <si>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</si>
  <si>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</si>
  <si>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</si>
  <si>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</si>
  <si>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</si>
  <si>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</si>
  <si>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</si>
  <si>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</si>
  <si>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</si>
  <si>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</si>
  <si>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</si>
  <si>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</si>
  <si>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</si>
  <si>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</si>
  <si>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</si>
  <si>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</si>
  <si>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</si>
  <si>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</si>
  <si>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</si>
  <si>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</si>
  <si>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</si>
  <si>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</si>
  <si>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</si>
  <si>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</si>
  <si>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DIG_OUT</t>
  </si>
  <si>
    <t>Max value</t>
  </si>
  <si>
    <t>Min value</t>
  </si>
  <si>
    <t>Init val</t>
  </si>
  <si>
    <t>Is Important</t>
  </si>
  <si>
    <t>ximportant</t>
  </si>
  <si>
    <t>yimportnat</t>
  </si>
  <si>
    <t>local important coordinates</t>
  </si>
  <si>
    <t xml:space="preserve"> </t>
  </si>
  <si>
    <t>ILDM</t>
  </si>
  <si>
    <t>PULSE1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</si>
  <si>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</si>
  <si>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</si>
  <si>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</si>
  <si>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</si>
  <si>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</si>
  <si>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</si>
  <si>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</si>
  <si>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</si>
  <si>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</si>
  <si>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</si>
  <si>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</si>
  <si>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</si>
  <si>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</si>
  <si>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</si>
  <si>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</si>
  <si>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</si>
  <si>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</si>
  <si>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</si>
  <si>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</si>
  <si>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</si>
  <si>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</si>
  <si>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</si>
  <si>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</si>
  <si>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mA</t>
  </si>
  <si>
    <t>ILDBM_set</t>
  </si>
  <si>
    <t>ADD3 4</t>
  </si>
  <si>
    <t>INTR_LCK_delay</t>
  </si>
  <si>
    <t>DG14</t>
  </si>
  <si>
    <t>ILD_SW</t>
  </si>
  <si>
    <t>DIG_ADD_4_1</t>
  </si>
  <si>
    <t>DIG_ADD_4_3</t>
  </si>
  <si>
    <t>DIG_ADD_4_0</t>
  </si>
  <si>
    <t>DIG_ADD_4_2</t>
  </si>
  <si>
    <t>DAC_ADC_ADD_4_1</t>
  </si>
  <si>
    <t>DAC_ADC_ADD_4_3</t>
  </si>
  <si>
    <t>DAC_ADC_ADD_4_0</t>
  </si>
  <si>
    <t>DAC_ADC_ADD_4_2</t>
  </si>
  <si>
    <t>DIG_ADD_0</t>
  </si>
  <si>
    <t>DIG_ADD_2</t>
  </si>
  <si>
    <t>DIG_ADD_1</t>
  </si>
  <si>
    <t>DIG_ADD3</t>
  </si>
  <si>
    <t>ADC_ADC_0</t>
  </si>
  <si>
    <t>ADC_ADC_2</t>
  </si>
  <si>
    <t>ADC_ADC_1</t>
  </si>
  <si>
    <t>ADC_ADC_3</t>
  </si>
  <si>
    <t>DIG_DG_0</t>
  </si>
  <si>
    <t>DIG_DG_2</t>
  </si>
  <si>
    <t>DIG_DG_1</t>
  </si>
  <si>
    <t>DIG_DG_3</t>
  </si>
  <si>
    <t>DAC_ADC_1_0</t>
  </si>
  <si>
    <t>DAC_ADC_1_2</t>
  </si>
  <si>
    <t>DAC_ADC_1_1</t>
  </si>
  <si>
    <t>DAC_ADC_1_3</t>
  </si>
  <si>
    <t>DAC_ADC_2_1</t>
  </si>
  <si>
    <t>DAC_ADC_2_3</t>
  </si>
  <si>
    <t>DAC_ADC_2_0</t>
  </si>
  <si>
    <t>DAC_ADC_2_2</t>
  </si>
  <si>
    <t>Enable init val</t>
  </si>
  <si>
    <t>Enable alarm</t>
  </si>
  <si>
    <t>Warning Value</t>
  </si>
  <si>
    <t>Interlock Value</t>
  </si>
  <si>
    <t>Alarms</t>
  </si>
  <si>
    <t>Above/Below(1/0)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</si>
  <si>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</si>
  <si>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</si>
  <si>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</si>
  <si>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</si>
  <si>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</si>
  <si>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</si>
  <si>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</si>
  <si>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</si>
  <si>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</si>
  <si>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</si>
  <si>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</si>
  <si>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</si>
  <si>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</si>
  <si>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</si>
  <si>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</si>
  <si>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Chip</t>
  </si>
  <si>
    <t>ROW \ COL</t>
  </si>
  <si>
    <t>Multiplexed channels</t>
  </si>
  <si>
    <t>multiplexSelectorAddress</t>
  </si>
  <si>
    <t>isMultiplexed</t>
  </si>
  <si>
    <t>multiplexed Function</t>
  </si>
  <si>
    <t>Multiplexed name</t>
  </si>
  <si>
    <t>isMuxImportant</t>
  </si>
  <si>
    <t>yimportant</t>
  </si>
  <si>
    <t>Init Value Mux</t>
  </si>
  <si>
    <t>mux Acitve Low</t>
  </si>
  <si>
    <t>disablePowerDrop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</si>
</sst>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5" borderId="1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7" xfId="0" applyFont="1" applyBorder="1"/>
    <xf numFmtId="0" fontId="0" fillId="2" borderId="9" xfId="0" applyFill="1" applyBorder="1"/>
    <xf numFmtId="0" fontId="0" fillId="7" borderId="9" xfId="0" applyFill="1" applyBorder="1" applyProtection="1">
      <protection locked="0"/>
    </xf>
    <xf numFmtId="0" fontId="0" fillId="4" borderId="9" xfId="0" applyFill="1" applyBorder="1"/>
    <xf numFmtId="0" fontId="2" fillId="6" borderId="9" xfId="0" applyFont="1" applyFill="1" applyBorder="1"/>
    <xf numFmtId="0" fontId="0" fillId="3" borderId="9" xfId="0" applyFill="1" applyBorder="1"/>
    <xf numFmtId="0" fontId="2" fillId="8" borderId="9" xfId="0" applyFont="1" applyFill="1" applyBorder="1"/>
    <xf numFmtId="0" fontId="2" fillId="8" borderId="9" xfId="0" applyFont="1" applyFill="1" applyBorder="1" applyProtection="1">
      <protection locked="0"/>
    </xf>
    <xf numFmtId="0" fontId="0" fillId="6" borderId="9" xfId="0" applyFill="1" applyBorder="1"/>
    <xf numFmtId="0" fontId="0" fillId="6" borderId="10" xfId="0" applyFill="1" applyBorder="1"/>
    <xf numFmtId="0" fontId="0" fillId="8" borderId="9" xfId="0" applyFill="1" applyBorder="1"/>
    <xf numFmtId="0" fontId="0" fillId="8" borderId="7" xfId="0" applyFill="1" applyBorder="1"/>
    <xf numFmtId="0" fontId="0" fillId="5" borderId="11" xfId="0" applyFill="1" applyBorder="1"/>
    <xf numFmtId="0" fontId="0" fillId="5" borderId="0" xfId="0" applyFill="1"/>
    <xf numFmtId="0" fontId="0" fillId="4" borderId="7" xfId="0" applyFill="1" applyBorder="1"/>
    <xf numFmtId="0" fontId="0" fillId="2" borderId="7" xfId="0" applyFill="1" applyBorder="1"/>
    <xf numFmtId="0" fontId="0" fillId="6" borderId="8" xfId="0" applyFill="1" applyBorder="1"/>
    <xf numFmtId="0" fontId="0" fillId="2" borderId="17" xfId="0" applyFill="1" applyBorder="1"/>
    <xf numFmtId="0" fontId="0" fillId="7" borderId="17" xfId="0" applyFill="1" applyBorder="1"/>
    <xf numFmtId="0" fontId="0" fillId="4" borderId="17" xfId="0" applyFill="1" applyBorder="1"/>
    <xf numFmtId="0" fontId="2" fillId="6" borderId="17" xfId="0" applyFont="1" applyFill="1" applyBorder="1"/>
    <xf numFmtId="0" fontId="0" fillId="3" borderId="17" xfId="0" applyFill="1" applyBorder="1"/>
    <xf numFmtId="0" fontId="2" fillId="8" borderId="17" xfId="0" applyFont="1" applyFill="1" applyBorder="1"/>
    <xf numFmtId="0" fontId="0" fillId="6" borderId="17" xfId="0" applyFill="1" applyBorder="1"/>
    <xf numFmtId="0" fontId="0" fillId="8" borderId="17" xfId="0" applyFill="1" applyBorder="1"/>
    <xf numFmtId="0" fontId="0" fillId="5" borderId="2" xfId="0" applyFill="1" applyBorder="1"/>
    <xf numFmtId="0" fontId="0" fillId="5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9" borderId="2" xfId="0" applyFill="1" applyBorder="1"/>
    <xf numFmtId="0" fontId="0" fillId="8" borderId="20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0" fillId="9" borderId="8" xfId="0" applyFill="1" applyBorder="1"/>
    <xf numFmtId="0" fontId="0" fillId="2" borderId="22" xfId="0" applyFill="1" applyBorder="1"/>
    <xf numFmtId="0" fontId="0" fillId="7" borderId="22" xfId="0" applyFill="1" applyBorder="1"/>
    <xf numFmtId="0" fontId="0" fillId="4" borderId="22" xfId="0" applyFill="1" applyBorder="1"/>
    <xf numFmtId="0" fontId="2" fillId="6" borderId="22" xfId="0" applyFont="1" applyFill="1" applyBorder="1"/>
    <xf numFmtId="0" fontId="0" fillId="3" borderId="22" xfId="0" applyFill="1" applyBorder="1"/>
    <xf numFmtId="0" fontId="2" fillId="8" borderId="22" xfId="0" applyFont="1" applyFill="1" applyBorder="1"/>
    <xf numFmtId="0" fontId="0" fillId="6" borderId="22" xfId="0" applyFill="1" applyBorder="1"/>
    <xf numFmtId="0" fontId="0" fillId="8" borderId="22" xfId="0" applyFill="1" applyBorder="1"/>
    <xf numFmtId="0" fontId="0" fillId="8" borderId="21" xfId="0" applyFill="1" applyBorder="1"/>
    <xf numFmtId="0" fontId="0" fillId="9" borderId="15" xfId="0" applyFill="1" applyBorder="1"/>
    <xf numFmtId="0" fontId="0" fillId="9" borderId="17" xfId="0" applyFill="1" applyBorder="1"/>
    <xf numFmtId="0" fontId="0" fillId="2" borderId="10" xfId="0" applyFill="1" applyBorder="1"/>
    <xf numFmtId="0" fontId="0" fillId="7" borderId="10" xfId="0" applyFill="1" applyBorder="1"/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0" fillId="5" borderId="10" xfId="0" applyFill="1" applyBorder="1"/>
    <xf numFmtId="0" fontId="0" fillId="8" borderId="10" xfId="0" applyFill="1" applyBorder="1"/>
    <xf numFmtId="0" fontId="0" fillId="5" borderId="18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6" xfId="0" applyFill="1" applyBorder="1"/>
    <xf numFmtId="0" fontId="1" fillId="0" borderId="16" xfId="0" applyFont="1" applyBorder="1"/>
    <xf numFmtId="0" fontId="1" fillId="0" borderId="7" xfId="0" applyFont="1" applyBorder="1" applyAlignment="1">
      <alignment horizontal="center"/>
    </xf>
    <xf numFmtId="0" fontId="1" fillId="0" borderId="8" xfId="0" applyFont="1" applyBorder="1"/>
    <xf numFmtId="0" fontId="0" fillId="2" borderId="3" xfId="0" applyFill="1" applyBorder="1"/>
    <xf numFmtId="0" fontId="0" fillId="2" borderId="4" xfId="0" applyFill="1" applyBorder="1"/>
    <xf numFmtId="0" fontId="0" fillId="2" borderId="15" xfId="0" applyFill="1" applyBorder="1"/>
    <xf numFmtId="0" fontId="0" fillId="2" borderId="25" xfId="0" applyFill="1" applyBorder="1"/>
    <xf numFmtId="0" fontId="0" fillId="2" borderId="5" xfId="0" applyFill="1" applyBorder="1"/>
    <xf numFmtId="0" fontId="0" fillId="2" borderId="1" xfId="0" applyFill="1" applyBorder="1"/>
    <xf numFmtId="0" fontId="0" fillId="7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3" borderId="1" xfId="0" applyFill="1" applyBorder="1"/>
    <xf numFmtId="0" fontId="0" fillId="7" borderId="1" xfId="0" quotePrefix="1" applyFill="1" applyBorder="1"/>
    <xf numFmtId="0" fontId="0" fillId="8" borderId="1" xfId="0" applyFill="1" applyBorder="1"/>
    <xf numFmtId="0" fontId="0" fillId="3" borderId="1" xfId="0" quotePrefix="1" applyFill="1" applyBorder="1"/>
    <xf numFmtId="0" fontId="0" fillId="8" borderId="26" xfId="0" applyFill="1" applyBorder="1"/>
    <xf numFmtId="0" fontId="0" fillId="9" borderId="1" xfId="0" applyFill="1" applyBorder="1"/>
    <xf numFmtId="0" fontId="0" fillId="9" borderId="27" xfId="0" applyFill="1" applyBorder="1"/>
    <xf numFmtId="0" fontId="1" fillId="0" borderId="9" xfId="0" applyFont="1" applyBorder="1"/>
    <xf numFmtId="0" fontId="0" fillId="0" borderId="10" xfId="0" applyBorder="1"/>
    <xf numFmtId="0" fontId="3" fillId="0" borderId="9" xfId="0" applyFont="1" applyBorder="1"/>
    <xf numFmtId="0" fontId="3" fillId="10" borderId="9" xfId="0" applyFont="1" applyFill="1" applyBorder="1"/>
    <xf numFmtId="0" fontId="3" fillId="11" borderId="9" xfId="0" applyFont="1" applyFill="1" applyBorder="1"/>
    <xf numFmtId="0" fontId="0" fillId="12" borderId="9" xfId="0" applyFill="1" applyBorder="1"/>
    <xf numFmtId="0" fontId="0" fillId="13" borderId="6" xfId="0" applyFill="1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6" xfId="0" applyFont="1" applyBorder="1" applyAlignment="1">
      <alignment wrapText="1"/>
    </xf>
    <xf numFmtId="0" fontId="1" fillId="0" borderId="2" xfId="0" applyFont="1" applyBorder="1"/>
    <xf numFmtId="0" fontId="1" fillId="0" borderId="10" xfId="0" applyFont="1" applyBorder="1"/>
    <xf numFmtId="0" fontId="1" fillId="0" borderId="17" xfId="0" applyFont="1" applyBorder="1"/>
    <xf numFmtId="0" fontId="1" fillId="0" borderId="31" xfId="0" applyFont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1" xfId="0" applyFill="1" applyBorder="1"/>
    <xf numFmtId="0" fontId="0" fillId="7" borderId="9" xfId="0" applyFill="1" applyBorder="1"/>
    <xf numFmtId="0" fontId="0" fillId="7" borderId="31" xfId="0" applyFill="1" applyBorder="1"/>
    <xf numFmtId="0" fontId="0" fillId="4" borderId="31" xfId="0" applyFill="1" applyBorder="1"/>
    <xf numFmtId="0" fontId="2" fillId="6" borderId="31" xfId="0" applyFont="1" applyFill="1" applyBorder="1"/>
    <xf numFmtId="0" fontId="0" fillId="3" borderId="31" xfId="0" applyFill="1" applyBorder="1"/>
    <xf numFmtId="0" fontId="2" fillId="8" borderId="31" xfId="0" applyFont="1" applyFill="1" applyBorder="1"/>
    <xf numFmtId="0" fontId="0" fillId="5" borderId="9" xfId="0" applyFill="1" applyBorder="1"/>
    <xf numFmtId="0" fontId="0" fillId="5" borderId="31" xfId="0" applyFill="1" applyBorder="1"/>
    <xf numFmtId="0" fontId="0" fillId="4" borderId="31" xfId="0" applyFill="1" applyBorder="1" applyAlignment="1">
      <alignment horizontal="center"/>
    </xf>
    <xf numFmtId="0" fontId="0" fillId="6" borderId="31" xfId="0" applyFill="1" applyBorder="1"/>
    <xf numFmtId="0" fontId="0" fillId="8" borderId="31" xfId="0" applyFill="1" applyBorder="1"/>
    <xf numFmtId="0" fontId="0" fillId="9" borderId="31" xfId="0" applyFill="1" applyBorder="1"/>
    <xf numFmtId="0" fontId="0" fillId="9" borderId="16" xfId="0" applyFill="1" applyBorder="1"/>
    <xf numFmtId="0" fontId="0" fillId="9" borderId="36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jc/OneDrive%20-%20Univerza%20v%20Ljubljani/Matlab2/Nejc_pulseqc/Nejc_pulseqc_FPGA_v4_3_module_x64_progress/excelData/ADD_adapter_ja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review"/>
      <sheetName val="Conflicts"/>
      <sheetName val="Helper"/>
    </sheetNames>
    <sheetDataSet>
      <sheetData sheetId="0">
        <row r="6">
          <cell r="B6" t="str">
            <v>ADD4 1</v>
          </cell>
          <cell r="C6" t="str">
            <v>ADC</v>
          </cell>
          <cell r="D6" t="str">
            <v>DAC_ADC_ADD_4_1</v>
          </cell>
          <cell r="H6">
            <v>1</v>
          </cell>
          <cell r="I6">
            <v>2</v>
          </cell>
          <cell r="J6">
            <v>8</v>
          </cell>
          <cell r="AF6">
            <v>0</v>
          </cell>
        </row>
        <row r="7">
          <cell r="B7" t="str">
            <v>ADD4 3</v>
          </cell>
          <cell r="C7" t="str">
            <v>ADC</v>
          </cell>
          <cell r="D7" t="str">
            <v>DAC_ADC_ADD_4_3</v>
          </cell>
          <cell r="H7">
            <v>1</v>
          </cell>
          <cell r="I7">
            <v>2</v>
          </cell>
          <cell r="J7">
            <v>10</v>
          </cell>
          <cell r="AF7">
            <v>0</v>
          </cell>
        </row>
        <row r="8">
          <cell r="B8" t="str">
            <v>ADD4 5</v>
          </cell>
          <cell r="C8" t="str">
            <v>DIG_OUT</v>
          </cell>
          <cell r="D8" t="str">
            <v>DIG_ADD_4_1</v>
          </cell>
          <cell r="H8">
            <v>0</v>
          </cell>
          <cell r="I8">
            <v>2</v>
          </cell>
          <cell r="J8">
            <v>16</v>
          </cell>
          <cell r="AF8">
            <v>0</v>
          </cell>
        </row>
        <row r="9">
          <cell r="B9" t="str">
            <v>ADD4 7</v>
          </cell>
          <cell r="C9" t="str">
            <v>DIG_OUT</v>
          </cell>
          <cell r="D9" t="str">
            <v>DIG_ADD_4_3</v>
          </cell>
          <cell r="H9">
            <v>0</v>
          </cell>
          <cell r="I9">
            <v>2</v>
          </cell>
          <cell r="J9">
            <v>18</v>
          </cell>
          <cell r="AF9">
            <v>0</v>
          </cell>
        </row>
        <row r="10">
          <cell r="B10" t="str">
            <v>GND</v>
          </cell>
          <cell r="C10" t="str">
            <v>PWR</v>
          </cell>
        </row>
        <row r="11">
          <cell r="B11" t="str">
            <v>ADD3 0</v>
          </cell>
          <cell r="C11" t="str">
            <v>DIG_IN</v>
          </cell>
          <cell r="D11" t="str">
            <v>DIG_ADD_0</v>
          </cell>
          <cell r="H11">
            <v>0</v>
          </cell>
          <cell r="I11">
            <v>1</v>
          </cell>
          <cell r="J11">
            <v>1</v>
          </cell>
          <cell r="AF11">
            <v>0</v>
          </cell>
        </row>
        <row r="12">
          <cell r="B12" t="str">
            <v>ADD3 2</v>
          </cell>
          <cell r="C12" t="str">
            <v>DIG_IN</v>
          </cell>
          <cell r="D12" t="str">
            <v>DIG_ADD_2</v>
          </cell>
          <cell r="H12">
            <v>0</v>
          </cell>
          <cell r="I12">
            <v>1</v>
          </cell>
          <cell r="J12">
            <v>2</v>
          </cell>
          <cell r="AF12">
            <v>0</v>
          </cell>
        </row>
        <row r="13">
          <cell r="B13" t="str">
            <v>ADC/P0</v>
          </cell>
          <cell r="C13" t="str">
            <v>ADC</v>
          </cell>
          <cell r="D13" t="str">
            <v>ADC_ADC_0</v>
          </cell>
          <cell r="H13">
            <v>1</v>
          </cell>
          <cell r="I13">
            <v>2</v>
          </cell>
          <cell r="J13">
            <v>3</v>
          </cell>
          <cell r="AF13">
            <v>0</v>
          </cell>
        </row>
        <row r="14">
          <cell r="B14" t="str">
            <v>ADC/P2</v>
          </cell>
          <cell r="C14" t="str">
            <v>ADC</v>
          </cell>
          <cell r="D14" t="str">
            <v>ADC_ADC_2</v>
          </cell>
          <cell r="H14">
            <v>1</v>
          </cell>
          <cell r="I14">
            <v>2</v>
          </cell>
          <cell r="J14">
            <v>5</v>
          </cell>
          <cell r="AF14">
            <v>0</v>
          </cell>
        </row>
        <row r="15">
          <cell r="B15" t="str">
            <v>DG0/GNDI</v>
          </cell>
          <cell r="C15" t="str">
            <v>DIG_OUT</v>
          </cell>
          <cell r="D15" t="str">
            <v>DIG_DG_0</v>
          </cell>
          <cell r="H15">
            <v>0</v>
          </cell>
          <cell r="I15">
            <v>2</v>
          </cell>
          <cell r="J15">
            <v>11</v>
          </cell>
          <cell r="AF15">
            <v>0</v>
          </cell>
        </row>
        <row r="16">
          <cell r="B16" t="str">
            <v>ADC/P5</v>
          </cell>
          <cell r="C16" t="str">
            <v>ADC</v>
          </cell>
          <cell r="D16" t="str">
            <v>ILDBM_set</v>
          </cell>
          <cell r="H16">
            <v>1</v>
          </cell>
          <cell r="I16">
            <v>1</v>
          </cell>
          <cell r="J16">
            <v>1</v>
          </cell>
          <cell r="AF16">
            <v>0</v>
          </cell>
        </row>
        <row r="17">
          <cell r="B17" t="str">
            <v>DG2/STATUS</v>
          </cell>
          <cell r="C17" t="str">
            <v>DIG_OUT</v>
          </cell>
          <cell r="D17" t="str">
            <v>DIG_DG_2</v>
          </cell>
          <cell r="H17">
            <v>0</v>
          </cell>
          <cell r="I17">
            <v>2</v>
          </cell>
          <cell r="J17">
            <v>13</v>
          </cell>
          <cell r="AF17">
            <v>1</v>
          </cell>
        </row>
        <row r="18">
          <cell r="B18" t="str">
            <v>+3VDI</v>
          </cell>
          <cell r="C18" t="str">
            <v>PWR</v>
          </cell>
        </row>
        <row r="19">
          <cell r="B19" t="str">
            <v>GNDI</v>
          </cell>
          <cell r="C19" t="str">
            <v>PWR</v>
          </cell>
        </row>
        <row r="20">
          <cell r="B20" t="str">
            <v>ADD1 0</v>
          </cell>
          <cell r="C20" t="str">
            <v>DAC</v>
          </cell>
          <cell r="D20" t="str">
            <v>I_LD</v>
          </cell>
          <cell r="H20">
            <v>0</v>
          </cell>
          <cell r="I20">
            <v>1</v>
          </cell>
          <cell r="J20">
            <v>3</v>
          </cell>
          <cell r="AF20">
            <v>0</v>
          </cell>
        </row>
        <row r="21">
          <cell r="B21" t="str">
            <v>GND_IN</v>
          </cell>
          <cell r="C21" t="str">
            <v>PWR</v>
          </cell>
        </row>
        <row r="22">
          <cell r="B22" t="str">
            <v>ADD1 2</v>
          </cell>
          <cell r="C22" t="str">
            <v>DAC</v>
          </cell>
          <cell r="D22" t="str">
            <v>DAC_ADC_1_2</v>
          </cell>
          <cell r="H22">
            <v>1</v>
          </cell>
          <cell r="I22">
            <v>1</v>
          </cell>
          <cell r="J22">
            <v>7</v>
          </cell>
          <cell r="AF22">
            <v>0</v>
          </cell>
        </row>
        <row r="23">
          <cell r="B23" t="str">
            <v>ADD1 4</v>
          </cell>
          <cell r="C23" t="str">
            <v>DAC</v>
          </cell>
          <cell r="D23" t="str">
            <v>DAC_ADC_2_0</v>
          </cell>
          <cell r="H23">
            <v>1</v>
          </cell>
          <cell r="I23">
            <v>1</v>
          </cell>
          <cell r="J23">
            <v>11</v>
          </cell>
          <cell r="AF23">
            <v>0</v>
          </cell>
        </row>
        <row r="24">
          <cell r="B24" t="str">
            <v>GND</v>
          </cell>
          <cell r="C24" t="str">
            <v>PWR</v>
          </cell>
        </row>
        <row r="25">
          <cell r="B25" t="str">
            <v>ADD1 7</v>
          </cell>
          <cell r="C25" t="str">
            <v>DAC</v>
          </cell>
          <cell r="D25" t="str">
            <v>DAC_ADC_2_3</v>
          </cell>
          <cell r="H25">
            <v>1</v>
          </cell>
          <cell r="I25">
            <v>1</v>
          </cell>
          <cell r="J25">
            <v>17</v>
          </cell>
          <cell r="AF25">
            <v>0</v>
          </cell>
        </row>
        <row r="27">
          <cell r="B27" t="str">
            <v>ADD4 0</v>
          </cell>
          <cell r="C27" t="str">
            <v>ADC</v>
          </cell>
          <cell r="D27" t="str">
            <v>DAC_ADC_ADD_4_0</v>
          </cell>
          <cell r="H27">
            <v>1</v>
          </cell>
          <cell r="I27">
            <v>2</v>
          </cell>
          <cell r="J27">
            <v>7</v>
          </cell>
          <cell r="AF27">
            <v>0</v>
          </cell>
        </row>
        <row r="28">
          <cell r="B28" t="str">
            <v>ADD4 2/GND</v>
          </cell>
          <cell r="C28" t="str">
            <v>ADC</v>
          </cell>
          <cell r="D28" t="str">
            <v>DAC_ADC_ADD_4_2</v>
          </cell>
          <cell r="H28">
            <v>1</v>
          </cell>
          <cell r="I28">
            <v>2</v>
          </cell>
          <cell r="J28">
            <v>9</v>
          </cell>
          <cell r="AF28">
            <v>0</v>
          </cell>
        </row>
        <row r="29">
          <cell r="B29" t="str">
            <v>ADD4 4</v>
          </cell>
          <cell r="C29" t="str">
            <v>DIG_OUT</v>
          </cell>
          <cell r="D29" t="str">
            <v>DIG_ADD_4_0</v>
          </cell>
          <cell r="H29">
            <v>0</v>
          </cell>
          <cell r="I29">
            <v>2</v>
          </cell>
          <cell r="J29">
            <v>15</v>
          </cell>
          <cell r="AF29">
            <v>0</v>
          </cell>
        </row>
        <row r="30">
          <cell r="B30" t="str">
            <v>ADD4 6</v>
          </cell>
          <cell r="C30" t="str">
            <v>DIG_OUT</v>
          </cell>
          <cell r="D30" t="str">
            <v>DIG_ADD_4_2</v>
          </cell>
          <cell r="H30">
            <v>0</v>
          </cell>
          <cell r="I30">
            <v>2</v>
          </cell>
          <cell r="J30">
            <v>17</v>
          </cell>
          <cell r="AF30">
            <v>0</v>
          </cell>
        </row>
        <row r="31">
          <cell r="B31" t="str">
            <v>ADD3 1</v>
          </cell>
          <cell r="C31" t="str">
            <v>DIG_IN</v>
          </cell>
          <cell r="D31" t="str">
            <v>DIG_ADD_1</v>
          </cell>
          <cell r="H31">
            <v>0</v>
          </cell>
          <cell r="I31">
            <v>2</v>
          </cell>
          <cell r="J31">
            <v>1</v>
          </cell>
          <cell r="AF31">
            <v>0</v>
          </cell>
        </row>
        <row r="32">
          <cell r="B32" t="str">
            <v>GND</v>
          </cell>
          <cell r="C32" t="str">
            <v>PWR</v>
          </cell>
        </row>
        <row r="33">
          <cell r="B33" t="str">
            <v>ADD3 3</v>
          </cell>
          <cell r="C33" t="str">
            <v>DIG_IN</v>
          </cell>
          <cell r="D33" t="str">
            <v>DIG_ADD3</v>
          </cell>
          <cell r="H33">
            <v>0</v>
          </cell>
          <cell r="I33">
            <v>2</v>
          </cell>
          <cell r="J33">
            <v>2</v>
          </cell>
          <cell r="AF33">
            <v>0</v>
          </cell>
        </row>
        <row r="34">
          <cell r="B34" t="str">
            <v>ADC/P1</v>
          </cell>
          <cell r="C34" t="str">
            <v>ADC</v>
          </cell>
          <cell r="D34" t="str">
            <v>ADC_ADC_1</v>
          </cell>
          <cell r="H34">
            <v>1</v>
          </cell>
          <cell r="I34">
            <v>2</v>
          </cell>
          <cell r="J34">
            <v>4</v>
          </cell>
          <cell r="AF34">
            <v>0</v>
          </cell>
        </row>
        <row r="35">
          <cell r="B35" t="str">
            <v>ADC/P3</v>
          </cell>
          <cell r="C35" t="str">
            <v>ADC</v>
          </cell>
          <cell r="D35" t="str">
            <v>ADC_ADC_3</v>
          </cell>
          <cell r="H35">
            <v>1</v>
          </cell>
          <cell r="I35">
            <v>2</v>
          </cell>
          <cell r="J35">
            <v>6</v>
          </cell>
          <cell r="AF35">
            <v>0</v>
          </cell>
        </row>
        <row r="36">
          <cell r="B36" t="str">
            <v>ADC/P4</v>
          </cell>
          <cell r="C36" t="str">
            <v>ADC</v>
          </cell>
          <cell r="D36" t="str">
            <v>ILDM</v>
          </cell>
          <cell r="H36">
            <v>1</v>
          </cell>
          <cell r="I36">
            <v>1</v>
          </cell>
          <cell r="J36">
            <v>1</v>
          </cell>
          <cell r="AF36">
            <v>0</v>
          </cell>
        </row>
        <row r="37">
          <cell r="B37" t="str">
            <v>ADC/P6</v>
          </cell>
          <cell r="C37" t="str">
            <v>ADC</v>
          </cell>
          <cell r="D37" t="str">
            <v>GND</v>
          </cell>
          <cell r="H37">
            <v>1</v>
          </cell>
          <cell r="I37">
            <v>1</v>
          </cell>
          <cell r="J37">
            <v>1</v>
          </cell>
          <cell r="AF37">
            <v>0</v>
          </cell>
        </row>
        <row r="38">
          <cell r="B38" t="str">
            <v>DG1/INTERLOCK3 4</v>
          </cell>
          <cell r="C38" t="str">
            <v>DIG_OUT</v>
          </cell>
          <cell r="D38" t="str">
            <v>DIG_DG_1</v>
          </cell>
          <cell r="H38">
            <v>0</v>
          </cell>
          <cell r="I38">
            <v>2</v>
          </cell>
          <cell r="J38">
            <v>12</v>
          </cell>
          <cell r="AF38">
            <v>0</v>
          </cell>
        </row>
        <row r="39">
          <cell r="B39" t="str">
            <v>ON2/DG3</v>
          </cell>
          <cell r="C39" t="str">
            <v>DIG_OUT</v>
          </cell>
          <cell r="D39" t="str">
            <v>DIG_DG_3</v>
          </cell>
          <cell r="H39">
            <v>0</v>
          </cell>
          <cell r="I39">
            <v>2</v>
          </cell>
          <cell r="J39">
            <v>14</v>
          </cell>
          <cell r="AF39">
            <v>0</v>
          </cell>
        </row>
        <row r="40">
          <cell r="B40" t="str">
            <v>PULSE2/DG4</v>
          </cell>
          <cell r="C40" t="str">
            <v>DIG_IN</v>
          </cell>
          <cell r="D40" t="str">
            <v>PULSE1</v>
          </cell>
          <cell r="H40">
            <v>1</v>
          </cell>
          <cell r="I40">
            <v>1</v>
          </cell>
          <cell r="J40">
            <v>1</v>
          </cell>
          <cell r="AF40">
            <v>0</v>
          </cell>
        </row>
        <row r="41">
          <cell r="B41" t="str">
            <v>ADD1 1</v>
          </cell>
          <cell r="C41" t="str">
            <v>DAC</v>
          </cell>
          <cell r="D41" t="str">
            <v>DAC_ADC_1_1</v>
          </cell>
          <cell r="H41">
            <v>1</v>
          </cell>
          <cell r="I41">
            <v>1</v>
          </cell>
          <cell r="J41">
            <v>5</v>
          </cell>
          <cell r="AF41">
            <v>0</v>
          </cell>
        </row>
        <row r="42">
          <cell r="B42" t="str">
            <v>+12VI1</v>
          </cell>
          <cell r="C42" t="str">
            <v>PWR</v>
          </cell>
        </row>
        <row r="43">
          <cell r="B43" t="str">
            <v>GND</v>
          </cell>
          <cell r="C43" t="str">
            <v>PWR</v>
          </cell>
        </row>
        <row r="44">
          <cell r="B44" t="str">
            <v>ADD1 3</v>
          </cell>
          <cell r="C44" t="str">
            <v>DAC</v>
          </cell>
          <cell r="D44" t="str">
            <v>DAC_ADC_1_3</v>
          </cell>
          <cell r="H44">
            <v>1</v>
          </cell>
          <cell r="I44">
            <v>1</v>
          </cell>
          <cell r="J44">
            <v>9</v>
          </cell>
          <cell r="AF44">
            <v>0</v>
          </cell>
        </row>
        <row r="45">
          <cell r="B45" t="str">
            <v>ADD1 5</v>
          </cell>
          <cell r="C45" t="str">
            <v>DAC</v>
          </cell>
          <cell r="D45" t="str">
            <v>DAC_ADC_2_1</v>
          </cell>
          <cell r="H45">
            <v>1</v>
          </cell>
          <cell r="I45">
            <v>1</v>
          </cell>
          <cell r="J45">
            <v>13</v>
          </cell>
          <cell r="AF45">
            <v>0</v>
          </cell>
        </row>
        <row r="46">
          <cell r="B46" t="str">
            <v>ADD1 6</v>
          </cell>
          <cell r="C46" t="str">
            <v>DAC</v>
          </cell>
          <cell r="D46" t="str">
            <v>DAC_ADC_2_2</v>
          </cell>
          <cell r="H46">
            <v>1</v>
          </cell>
          <cell r="I46">
            <v>1</v>
          </cell>
          <cell r="J46">
            <v>15</v>
          </cell>
          <cell r="AF46">
            <v>0</v>
          </cell>
        </row>
        <row r="47">
          <cell r="B47" t="str">
            <v>none</v>
          </cell>
        </row>
        <row r="48">
          <cell r="B48" t="str">
            <v>DG7</v>
          </cell>
          <cell r="C48" t="str">
            <v>DIG_OUT</v>
          </cell>
          <cell r="D48" t="str">
            <v>PS_ON</v>
          </cell>
          <cell r="H48">
            <v>0</v>
          </cell>
          <cell r="I48">
            <v>3</v>
          </cell>
          <cell r="J48">
            <v>1</v>
          </cell>
          <cell r="AF48">
            <v>0</v>
          </cell>
        </row>
        <row r="49">
          <cell r="B49" t="str">
            <v>DG8</v>
          </cell>
          <cell r="C49" t="str">
            <v>DIG_OUT</v>
          </cell>
          <cell r="D49" t="str">
            <v>STATUS_CON_EN_n</v>
          </cell>
          <cell r="H49">
            <v>0</v>
          </cell>
          <cell r="I49">
            <v>3</v>
          </cell>
          <cell r="J49">
            <v>2</v>
          </cell>
          <cell r="AF49">
            <v>0</v>
          </cell>
        </row>
        <row r="50">
          <cell r="B50" t="str">
            <v>DG9</v>
          </cell>
          <cell r="C50" t="str">
            <v>DIG_OUT</v>
          </cell>
          <cell r="D50" t="str">
            <v>INTRLCK_CON_EN_n</v>
          </cell>
          <cell r="H50">
            <v>0</v>
          </cell>
          <cell r="I50">
            <v>3</v>
          </cell>
          <cell r="J50">
            <v>3</v>
          </cell>
          <cell r="AF50">
            <v>0</v>
          </cell>
        </row>
        <row r="51">
          <cell r="B51" t="str">
            <v>DG10</v>
          </cell>
          <cell r="C51" t="str">
            <v>DIG_OUT</v>
          </cell>
          <cell r="D51" t="str">
            <v>ON2/IN11-OE_n</v>
          </cell>
          <cell r="H51">
            <v>0</v>
          </cell>
          <cell r="I51">
            <v>3</v>
          </cell>
          <cell r="J51">
            <v>4</v>
          </cell>
          <cell r="AF51">
            <v>0</v>
          </cell>
        </row>
        <row r="52">
          <cell r="B52" t="str">
            <v>DG11</v>
          </cell>
          <cell r="C52" t="str">
            <v>DIG_OUT</v>
          </cell>
          <cell r="D52" t="str">
            <v>PULSE2/IN12-OE_n</v>
          </cell>
          <cell r="H52">
            <v>0</v>
          </cell>
          <cell r="I52">
            <v>3</v>
          </cell>
          <cell r="J52">
            <v>5</v>
          </cell>
          <cell r="AF52">
            <v>0</v>
          </cell>
        </row>
        <row r="53">
          <cell r="B53" t="str">
            <v>DG12</v>
          </cell>
          <cell r="C53" t="str">
            <v>DIG_OUT</v>
          </cell>
          <cell r="D53" t="str">
            <v>ISO_EN</v>
          </cell>
          <cell r="H53">
            <v>0</v>
          </cell>
          <cell r="I53">
            <v>3</v>
          </cell>
          <cell r="J53">
            <v>6</v>
          </cell>
          <cell r="AF53">
            <v>0</v>
          </cell>
        </row>
        <row r="54">
          <cell r="B54" t="str">
            <v>DG13</v>
          </cell>
          <cell r="C54" t="str">
            <v>DIG_OUT</v>
          </cell>
          <cell r="D54" t="str">
            <v>SW_CLK/BUSY</v>
          </cell>
          <cell r="H54">
            <v>0</v>
          </cell>
          <cell r="I54">
            <v>3</v>
          </cell>
          <cell r="J54">
            <v>7</v>
          </cell>
          <cell r="AF54">
            <v>0</v>
          </cell>
        </row>
        <row r="55">
          <cell r="B55" t="str">
            <v>ADC/P7</v>
          </cell>
          <cell r="C55" t="str">
            <v>ADC</v>
          </cell>
          <cell r="D55" t="str">
            <v>I_module</v>
          </cell>
          <cell r="H55">
            <v>0</v>
          </cell>
          <cell r="I55">
            <v>3</v>
          </cell>
          <cell r="J55">
            <v>8</v>
          </cell>
          <cell r="AF55">
            <v>0</v>
          </cell>
        </row>
        <row r="56">
          <cell r="B56" t="str">
            <v>ADD3 4</v>
          </cell>
          <cell r="C56" t="str">
            <v>DAC</v>
          </cell>
          <cell r="D56" t="str">
            <v>INTR_LCK_delay</v>
          </cell>
          <cell r="H56">
            <v>0</v>
          </cell>
          <cell r="I56">
            <v>3</v>
          </cell>
          <cell r="J56">
            <v>9</v>
          </cell>
          <cell r="AF56">
            <v>0</v>
          </cell>
        </row>
        <row r="57">
          <cell r="B57" t="str">
            <v>DG14</v>
          </cell>
          <cell r="C57" t="str">
            <v>DIG_OUT</v>
          </cell>
          <cell r="D57" t="str">
            <v>ILD_SW</v>
          </cell>
          <cell r="H57">
            <v>0</v>
          </cell>
          <cell r="I57">
            <v>3</v>
          </cell>
          <cell r="J57">
            <v>11</v>
          </cell>
          <cell r="AF5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X57"/>
  <sheetViews>
    <sheetView tabSelected="1" topLeftCell="Y1" zoomScale="60" zoomScaleNormal="60" workbookViewId="0">
      <pane ySplit="5" topLeftCell="A14" activePane="bottomLeft" state="frozen"/>
      <selection pane="bottomLeft" activeCell="AX4" sqref="AX4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20.5703125" customWidth="1"/>
    <col min="6" max="6" width="11.85546875" customWidth="1"/>
    <col min="7" max="7" width="12.85546875" customWidth="1"/>
    <col min="11" max="11" width="12.140625" customWidth="1"/>
    <col min="12" max="18" width="11.7109375" customWidth="1"/>
    <col min="19" max="21" width="12.85546875" customWidth="1"/>
    <col min="22" max="22" width="22" customWidth="1"/>
    <col min="23" max="25" width="16.85546875" customWidth="1"/>
    <col min="26" max="26" width="21.28515625" customWidth="1"/>
    <col min="27" max="27" width="18.28515625" customWidth="1"/>
    <col min="28" max="28" width="20.140625" customWidth="1"/>
    <col min="29" max="29" width="13.7109375" customWidth="1"/>
    <col min="30" max="30" width="13.140625" customWidth="1"/>
    <col min="31" max="31" width="20.140625" customWidth="1"/>
    <col min="32" max="32" width="12.140625" customWidth="1"/>
    <col min="33" max="33" width="8.85546875" customWidth="1"/>
    <col min="34" max="34" width="10" customWidth="1"/>
    <col min="35" max="41" width="17.42578125" customWidth="1"/>
    <col min="43" max="43" width="16.42578125" customWidth="1"/>
    <col min="44" max="44" width="12.5703125" customWidth="1"/>
    <col min="45" max="45" width="14.85546875" customWidth="1"/>
    <col min="46" max="46" width="13.42578125" customWidth="1"/>
    <col min="47" max="47" width="12.140625" customWidth="1"/>
    <col min="48" max="48" width="13.5703125" customWidth="1"/>
    <col min="49" max="49" width="13.28515625" customWidth="1"/>
    <col min="50" max="50" width="12.140625" customWidth="1"/>
  </cols>
  <sheetData>
    <row r="1" spans="2:50" x14ac:dyDescent="0.25">
      <c r="AQ1" s="128" t="s">
        <v>53</v>
      </c>
      <c r="AR1" s="126" t="s">
        <v>54</v>
      </c>
      <c r="AS1" s="126"/>
      <c r="AT1" s="126"/>
      <c r="AU1" s="126" t="s">
        <v>55</v>
      </c>
      <c r="AV1" s="126"/>
      <c r="AW1" s="126"/>
      <c r="AX1" s="127"/>
    </row>
    <row r="2" spans="2:50" x14ac:dyDescent="0.25">
      <c r="AQ2" s="129"/>
      <c r="AR2" s="9" t="s">
        <v>56</v>
      </c>
      <c r="AS2" s="4" t="s">
        <v>57</v>
      </c>
      <c r="AT2" s="2" t="s">
        <v>0</v>
      </c>
      <c r="AU2" s="9" t="s">
        <v>56</v>
      </c>
      <c r="AV2" s="4" t="s">
        <v>57</v>
      </c>
      <c r="AW2" s="2" t="s">
        <v>0</v>
      </c>
      <c r="AX2" s="19" t="s">
        <v>58</v>
      </c>
    </row>
    <row r="3" spans="2:50" ht="15.75" thickBot="1" x14ac:dyDescent="0.3">
      <c r="AQ3" s="130"/>
      <c r="AR3" s="21">
        <v>5</v>
      </c>
      <c r="AS3" s="24">
        <v>5</v>
      </c>
      <c r="AT3" s="25">
        <v>5</v>
      </c>
      <c r="AU3" s="21">
        <v>5</v>
      </c>
      <c r="AV3" s="24">
        <v>5</v>
      </c>
      <c r="AW3" s="25">
        <v>5</v>
      </c>
      <c r="AX3" s="26">
        <v>5</v>
      </c>
    </row>
    <row r="4" spans="2:50" x14ac:dyDescent="0.25">
      <c r="C4" s="139" t="s">
        <v>40</v>
      </c>
      <c r="D4" s="126" t="s">
        <v>41</v>
      </c>
      <c r="E4" s="126" t="s">
        <v>42</v>
      </c>
      <c r="F4" s="126" t="s">
        <v>43</v>
      </c>
      <c r="G4" s="126"/>
      <c r="H4" s="126" t="s">
        <v>49</v>
      </c>
      <c r="I4" s="126" t="s">
        <v>48</v>
      </c>
      <c r="J4" s="126"/>
      <c r="K4" s="132" t="s">
        <v>50</v>
      </c>
      <c r="L4" s="126" t="s">
        <v>51</v>
      </c>
      <c r="M4" s="126" t="s">
        <v>63</v>
      </c>
      <c r="N4" s="126" t="s">
        <v>62</v>
      </c>
      <c r="O4" s="126" t="s">
        <v>64</v>
      </c>
      <c r="P4" s="126" t="s">
        <v>65</v>
      </c>
      <c r="Q4" s="126" t="s">
        <v>68</v>
      </c>
      <c r="R4" s="126"/>
      <c r="S4" s="132" t="s">
        <v>88</v>
      </c>
      <c r="T4" s="126" t="s">
        <v>94</v>
      </c>
      <c r="U4" s="126"/>
      <c r="V4" s="126"/>
      <c r="W4" s="132"/>
      <c r="X4" s="134" t="s">
        <v>129</v>
      </c>
      <c r="Y4" s="126" t="s">
        <v>133</v>
      </c>
      <c r="Z4" s="126"/>
      <c r="AA4" s="126"/>
      <c r="AB4" s="127"/>
      <c r="AC4" s="136" t="s">
        <v>152</v>
      </c>
      <c r="AD4" s="137"/>
      <c r="AE4" s="137"/>
      <c r="AF4" s="137"/>
      <c r="AG4" s="137"/>
      <c r="AH4" s="137"/>
      <c r="AI4" s="138"/>
      <c r="AJ4" s="98"/>
      <c r="AK4" s="98"/>
      <c r="AL4" s="99"/>
      <c r="AM4" s="98"/>
      <c r="AN4" s="100"/>
      <c r="AO4" s="101"/>
    </row>
    <row r="5" spans="2:50" ht="30.75" thickBot="1" x14ac:dyDescent="0.3">
      <c r="C5" s="140"/>
      <c r="D5" s="131"/>
      <c r="E5" s="131"/>
      <c r="F5" s="10" t="s">
        <v>44</v>
      </c>
      <c r="G5" s="10" t="s">
        <v>45</v>
      </c>
      <c r="H5" s="131"/>
      <c r="I5" s="10" t="s">
        <v>47</v>
      </c>
      <c r="J5" s="10" t="s">
        <v>46</v>
      </c>
      <c r="K5" s="133"/>
      <c r="L5" s="131"/>
      <c r="M5" s="131"/>
      <c r="N5" s="131"/>
      <c r="O5" s="131"/>
      <c r="P5" s="131"/>
      <c r="Q5" s="72" t="s">
        <v>66</v>
      </c>
      <c r="R5" s="72" t="s">
        <v>67</v>
      </c>
      <c r="S5" s="133"/>
      <c r="T5" s="10" t="s">
        <v>90</v>
      </c>
      <c r="U5" s="10" t="s">
        <v>91</v>
      </c>
      <c r="V5" s="10" t="s">
        <v>93</v>
      </c>
      <c r="W5" s="71" t="s">
        <v>92</v>
      </c>
      <c r="X5" s="135"/>
      <c r="Y5" s="10" t="s">
        <v>130</v>
      </c>
      <c r="Z5" s="10" t="s">
        <v>134</v>
      </c>
      <c r="AA5" s="10" t="s">
        <v>131</v>
      </c>
      <c r="AB5" s="73" t="s">
        <v>132</v>
      </c>
      <c r="AC5" s="102" t="s">
        <v>153</v>
      </c>
      <c r="AD5" s="10" t="s">
        <v>154</v>
      </c>
      <c r="AE5" s="71" t="s">
        <v>155</v>
      </c>
      <c r="AF5" s="10" t="s">
        <v>49</v>
      </c>
      <c r="AG5" s="10" t="s">
        <v>47</v>
      </c>
      <c r="AH5" s="10" t="s">
        <v>46</v>
      </c>
      <c r="AI5" s="73" t="s">
        <v>156</v>
      </c>
      <c r="AJ5" s="103" t="s">
        <v>157</v>
      </c>
      <c r="AK5" s="103" t="s">
        <v>66</v>
      </c>
      <c r="AL5" s="104" t="s">
        <v>158</v>
      </c>
      <c r="AM5" s="103" t="s">
        <v>159</v>
      </c>
      <c r="AN5" s="105" t="s">
        <v>160</v>
      </c>
      <c r="AO5" s="106" t="s">
        <v>161</v>
      </c>
    </row>
    <row r="6" spans="2:50" ht="15.75" thickBot="1" x14ac:dyDescent="0.3">
      <c r="B6" s="79" t="s">
        <v>1</v>
      </c>
      <c r="C6" s="74" t="s">
        <v>38</v>
      </c>
      <c r="D6" s="75" t="s">
        <v>105</v>
      </c>
      <c r="E6" s="75" t="s">
        <v>52</v>
      </c>
      <c r="F6" s="75">
        <v>1</v>
      </c>
      <c r="G6" s="75">
        <v>0</v>
      </c>
      <c r="H6" s="75">
        <v>0</v>
      </c>
      <c r="I6" s="75">
        <v>2</v>
      </c>
      <c r="J6" s="75">
        <v>8</v>
      </c>
      <c r="K6" s="76">
        <f>$AT$3</f>
        <v>5</v>
      </c>
      <c r="L6" s="75">
        <f>$AW$3</f>
        <v>5</v>
      </c>
      <c r="M6" s="75">
        <v>0</v>
      </c>
      <c r="N6" s="75">
        <v>15</v>
      </c>
      <c r="O6" s="75">
        <v>0</v>
      </c>
      <c r="P6" s="76">
        <v>0</v>
      </c>
      <c r="Q6" s="75"/>
      <c r="R6" s="75"/>
      <c r="S6" s="77">
        <v>0</v>
      </c>
      <c r="T6" s="75"/>
      <c r="U6" s="75"/>
      <c r="V6" s="75"/>
      <c r="W6" s="75"/>
      <c r="X6" s="76">
        <v>1</v>
      </c>
      <c r="Y6" s="75">
        <v>1</v>
      </c>
      <c r="Z6" s="75">
        <v>1</v>
      </c>
      <c r="AA6" s="75">
        <v>3</v>
      </c>
      <c r="AB6" s="78">
        <v>4</v>
      </c>
      <c r="AC6" s="107"/>
      <c r="AD6" s="108"/>
      <c r="AE6" s="109"/>
      <c r="AF6" s="108">
        <v>0</v>
      </c>
      <c r="AG6" s="108"/>
      <c r="AH6" s="110"/>
      <c r="AI6" s="109"/>
      <c r="AJ6" s="2"/>
      <c r="AK6" s="2"/>
      <c r="AL6" s="59"/>
      <c r="AM6" s="2"/>
      <c r="AN6" s="27"/>
      <c r="AO6" s="111"/>
    </row>
    <row r="7" spans="2:50" ht="15.75" thickBot="1" x14ac:dyDescent="0.3">
      <c r="B7" s="79" t="s">
        <v>2</v>
      </c>
      <c r="C7" s="11" t="s">
        <v>38</v>
      </c>
      <c r="D7" s="2" t="s">
        <v>106</v>
      </c>
      <c r="E7" s="2" t="s">
        <v>52</v>
      </c>
      <c r="F7" s="2">
        <v>1</v>
      </c>
      <c r="G7" s="2">
        <v>0</v>
      </c>
      <c r="H7" s="2">
        <v>0</v>
      </c>
      <c r="I7" s="2">
        <v>2</v>
      </c>
      <c r="J7" s="2">
        <v>10</v>
      </c>
      <c r="K7" s="27">
        <f>$AT$3</f>
        <v>5</v>
      </c>
      <c r="L7" s="2">
        <f>$AW$3</f>
        <v>5</v>
      </c>
      <c r="M7" s="2">
        <v>0</v>
      </c>
      <c r="N7" s="2">
        <v>10</v>
      </c>
      <c r="O7" s="2">
        <v>0</v>
      </c>
      <c r="P7" s="27">
        <v>0</v>
      </c>
      <c r="Q7" s="2"/>
      <c r="R7" s="2"/>
      <c r="S7" s="48">
        <v>0</v>
      </c>
      <c r="T7" s="2"/>
      <c r="U7" s="2"/>
      <c r="V7" s="2"/>
      <c r="W7" s="2"/>
      <c r="X7" s="27">
        <v>1</v>
      </c>
      <c r="Y7" s="2">
        <v>0</v>
      </c>
      <c r="Z7" s="2">
        <v>0</v>
      </c>
      <c r="AA7" s="2">
        <v>1</v>
      </c>
      <c r="AB7" s="59">
        <v>0.5</v>
      </c>
      <c r="AC7" s="11"/>
      <c r="AD7" s="2"/>
      <c r="AE7" s="59"/>
      <c r="AF7" s="2">
        <v>0</v>
      </c>
      <c r="AG7" s="2"/>
      <c r="AH7" s="27"/>
      <c r="AI7" s="59"/>
      <c r="AJ7" s="2"/>
      <c r="AK7" s="2"/>
      <c r="AL7" s="59"/>
      <c r="AM7" s="2"/>
      <c r="AN7" s="27"/>
      <c r="AO7" s="111"/>
    </row>
    <row r="8" spans="2:50" ht="15.75" thickBot="1" x14ac:dyDescent="0.3">
      <c r="B8" s="79" t="s">
        <v>3</v>
      </c>
      <c r="C8" s="11" t="s">
        <v>60</v>
      </c>
      <c r="D8" s="2" t="s">
        <v>101</v>
      </c>
      <c r="E8" s="2" t="s">
        <v>52</v>
      </c>
      <c r="F8" s="2">
        <v>1</v>
      </c>
      <c r="G8" s="2">
        <v>0</v>
      </c>
      <c r="H8" s="2">
        <v>0</v>
      </c>
      <c r="I8" s="2">
        <v>2</v>
      </c>
      <c r="J8" s="2">
        <v>16</v>
      </c>
      <c r="K8" s="27">
        <f>$AT$3</f>
        <v>5</v>
      </c>
      <c r="L8" s="2">
        <f>$AW$3</f>
        <v>5</v>
      </c>
      <c r="M8" s="2">
        <v>0</v>
      </c>
      <c r="N8" s="2">
        <v>10</v>
      </c>
      <c r="O8" s="2">
        <v>0</v>
      </c>
      <c r="P8" s="27">
        <v>0</v>
      </c>
      <c r="Q8" s="2"/>
      <c r="R8" s="2"/>
      <c r="S8" s="48">
        <v>1</v>
      </c>
      <c r="T8" s="2"/>
      <c r="U8" s="2"/>
      <c r="V8" s="2"/>
      <c r="W8" s="2"/>
      <c r="X8" s="27">
        <v>1</v>
      </c>
      <c r="Y8" s="2">
        <v>0</v>
      </c>
      <c r="Z8" s="2"/>
      <c r="AA8" s="2"/>
      <c r="AB8" s="59"/>
      <c r="AC8" s="11"/>
      <c r="AD8" s="2"/>
      <c r="AE8" s="59"/>
      <c r="AF8" s="2">
        <v>0</v>
      </c>
      <c r="AG8" s="2"/>
      <c r="AH8" s="27"/>
      <c r="AI8" s="59"/>
      <c r="AJ8" s="2"/>
      <c r="AK8" s="2"/>
      <c r="AL8" s="59"/>
      <c r="AM8" s="2">
        <v>0</v>
      </c>
      <c r="AN8" s="27"/>
      <c r="AO8" s="111"/>
    </row>
    <row r="9" spans="2:50" ht="15.75" thickBot="1" x14ac:dyDescent="0.3">
      <c r="B9" s="79" t="s">
        <v>4</v>
      </c>
      <c r="C9" s="11" t="s">
        <v>60</v>
      </c>
      <c r="D9" s="2" t="s">
        <v>102</v>
      </c>
      <c r="E9" s="2" t="s">
        <v>52</v>
      </c>
      <c r="F9" s="2">
        <v>2</v>
      </c>
      <c r="G9" s="2">
        <v>0</v>
      </c>
      <c r="H9" s="2">
        <v>0</v>
      </c>
      <c r="I9" s="2">
        <v>2</v>
      </c>
      <c r="J9" s="2">
        <v>18</v>
      </c>
      <c r="K9" s="27">
        <f>$AT$3</f>
        <v>5</v>
      </c>
      <c r="L9" s="2">
        <f>$AW$3</f>
        <v>5</v>
      </c>
      <c r="M9" s="2">
        <v>0</v>
      </c>
      <c r="N9" s="2">
        <v>10</v>
      </c>
      <c r="O9" s="2">
        <v>0</v>
      </c>
      <c r="P9" s="27">
        <v>0</v>
      </c>
      <c r="Q9" s="2"/>
      <c r="R9" s="2"/>
      <c r="S9" s="48">
        <v>0</v>
      </c>
      <c r="T9" s="2"/>
      <c r="U9" s="2"/>
      <c r="V9" s="2"/>
      <c r="W9" s="2"/>
      <c r="X9" s="27">
        <v>1</v>
      </c>
      <c r="Y9" s="2">
        <v>0</v>
      </c>
      <c r="Z9" s="2"/>
      <c r="AA9" s="2"/>
      <c r="AB9" s="59"/>
      <c r="AC9" s="11"/>
      <c r="AD9" s="2"/>
      <c r="AE9" s="59"/>
      <c r="AF9" s="2">
        <v>0</v>
      </c>
      <c r="AG9" s="2"/>
      <c r="AH9" s="27"/>
      <c r="AI9" s="59"/>
      <c r="AJ9" s="2"/>
      <c r="AK9" s="2"/>
      <c r="AL9" s="59"/>
      <c r="AM9" s="2">
        <v>0</v>
      </c>
      <c r="AN9" s="27"/>
      <c r="AO9" s="111"/>
    </row>
    <row r="10" spans="2:50" ht="15.75" thickBot="1" x14ac:dyDescent="0.3">
      <c r="B10" s="80" t="s">
        <v>5</v>
      </c>
      <c r="C10" s="12" t="s">
        <v>39</v>
      </c>
      <c r="D10" s="3"/>
      <c r="E10" s="3"/>
      <c r="F10" s="3"/>
      <c r="G10" s="3"/>
      <c r="H10" s="3"/>
      <c r="I10" s="3"/>
      <c r="J10" s="3"/>
      <c r="K10" s="28"/>
      <c r="L10" s="3"/>
      <c r="M10" s="3"/>
      <c r="N10" s="3"/>
      <c r="O10" s="3"/>
      <c r="P10" s="28"/>
      <c r="Q10" s="3"/>
      <c r="R10" s="3"/>
      <c r="S10" s="49">
        <v>0</v>
      </c>
      <c r="T10" s="3"/>
      <c r="U10" s="3"/>
      <c r="V10" s="3"/>
      <c r="W10" s="3"/>
      <c r="X10" s="28"/>
      <c r="Y10" s="3"/>
      <c r="Z10" s="3"/>
      <c r="AA10" s="3"/>
      <c r="AB10" s="60"/>
      <c r="AC10" s="112"/>
      <c r="AD10" s="3"/>
      <c r="AE10" s="60"/>
      <c r="AF10" s="3"/>
      <c r="AG10" s="3"/>
      <c r="AH10" s="28"/>
      <c r="AI10" s="60"/>
      <c r="AJ10" s="3"/>
      <c r="AK10" s="3"/>
      <c r="AL10" s="60"/>
      <c r="AM10" s="3"/>
      <c r="AN10" s="28"/>
      <c r="AO10" s="113"/>
    </row>
    <row r="11" spans="2:50" ht="15.75" thickBot="1" x14ac:dyDescent="0.3">
      <c r="B11" s="81" t="s">
        <v>6</v>
      </c>
      <c r="C11" s="13" t="s">
        <v>60</v>
      </c>
      <c r="D11" s="4" t="s">
        <v>109</v>
      </c>
      <c r="E11" s="4" t="s">
        <v>52</v>
      </c>
      <c r="F11" s="4">
        <v>1</v>
      </c>
      <c r="G11" s="4">
        <v>0</v>
      </c>
      <c r="H11" s="4">
        <v>0</v>
      </c>
      <c r="I11" s="4">
        <v>1</v>
      </c>
      <c r="J11" s="4">
        <v>1</v>
      </c>
      <c r="K11" s="29">
        <f>$AS$3</f>
        <v>5</v>
      </c>
      <c r="L11" s="4">
        <f>$AV$3</f>
        <v>5</v>
      </c>
      <c r="M11" s="4">
        <v>0</v>
      </c>
      <c r="N11" s="4">
        <v>30</v>
      </c>
      <c r="O11" s="4">
        <v>0</v>
      </c>
      <c r="P11" s="29">
        <v>0</v>
      </c>
      <c r="Q11" s="4"/>
      <c r="R11" s="4"/>
      <c r="S11" s="50">
        <v>0</v>
      </c>
      <c r="T11" s="4"/>
      <c r="U11" s="4"/>
      <c r="V11" s="4"/>
      <c r="W11" s="4"/>
      <c r="X11" s="29">
        <v>1</v>
      </c>
      <c r="Y11" s="4">
        <v>0</v>
      </c>
      <c r="Z11" s="4"/>
      <c r="AA11" s="4"/>
      <c r="AB11" s="61"/>
      <c r="AC11" s="13"/>
      <c r="AD11" s="4"/>
      <c r="AE11" s="61"/>
      <c r="AF11" s="4">
        <v>0</v>
      </c>
      <c r="AG11" s="4"/>
      <c r="AH11" s="29"/>
      <c r="AI11" s="61"/>
      <c r="AJ11" s="4"/>
      <c r="AK11" s="4"/>
      <c r="AL11" s="61"/>
      <c r="AM11" s="4">
        <v>0</v>
      </c>
      <c r="AN11" s="29"/>
      <c r="AO11" s="114"/>
    </row>
    <row r="12" spans="2:50" ht="15.75" thickBot="1" x14ac:dyDescent="0.3">
      <c r="B12" s="81" t="s">
        <v>7</v>
      </c>
      <c r="C12" s="13" t="s">
        <v>61</v>
      </c>
      <c r="D12" s="4" t="s">
        <v>110</v>
      </c>
      <c r="E12" s="4" t="s">
        <v>52</v>
      </c>
      <c r="F12" s="4">
        <v>1</v>
      </c>
      <c r="G12" s="4">
        <v>0</v>
      </c>
      <c r="H12" s="4">
        <v>0</v>
      </c>
      <c r="I12" s="4">
        <v>1</v>
      </c>
      <c r="J12" s="4">
        <v>2</v>
      </c>
      <c r="K12" s="29">
        <f>$AS$3</f>
        <v>5</v>
      </c>
      <c r="L12" s="4">
        <f>$AV$3</f>
        <v>5</v>
      </c>
      <c r="M12" s="4">
        <v>0</v>
      </c>
      <c r="N12" s="4">
        <v>1</v>
      </c>
      <c r="O12" s="4">
        <v>0</v>
      </c>
      <c r="P12" s="29">
        <v>0</v>
      </c>
      <c r="Q12" s="4"/>
      <c r="R12" s="4"/>
      <c r="S12" s="50">
        <v>0</v>
      </c>
      <c r="T12" s="4"/>
      <c r="U12" s="4"/>
      <c r="V12" s="4"/>
      <c r="W12" s="4"/>
      <c r="X12" s="29">
        <v>1</v>
      </c>
      <c r="Y12" s="4">
        <v>0</v>
      </c>
      <c r="Z12" s="4"/>
      <c r="AA12" s="4"/>
      <c r="AB12" s="61"/>
      <c r="AC12" s="13"/>
      <c r="AD12" s="4"/>
      <c r="AE12" s="61"/>
      <c r="AF12" s="4">
        <v>0</v>
      </c>
      <c r="AG12" s="4"/>
      <c r="AH12" s="29"/>
      <c r="AI12" s="61"/>
      <c r="AJ12" s="4"/>
      <c r="AK12" s="4"/>
      <c r="AL12" s="61"/>
      <c r="AM12" s="4">
        <v>0</v>
      </c>
      <c r="AN12" s="29"/>
      <c r="AO12" s="114"/>
    </row>
    <row r="13" spans="2:50" ht="15.75" thickBot="1" x14ac:dyDescent="0.3">
      <c r="B13" s="82" t="s">
        <v>8</v>
      </c>
      <c r="C13" s="14" t="s">
        <v>38</v>
      </c>
      <c r="D13" s="5" t="s">
        <v>113</v>
      </c>
      <c r="E13" s="5" t="s">
        <v>52</v>
      </c>
      <c r="F13" s="5">
        <v>1</v>
      </c>
      <c r="G13" s="5">
        <v>0</v>
      </c>
      <c r="H13" s="5">
        <v>0</v>
      </c>
      <c r="I13" s="5">
        <v>2</v>
      </c>
      <c r="J13" s="5">
        <v>3</v>
      </c>
      <c r="K13" s="30">
        <v>0</v>
      </c>
      <c r="L13" s="5">
        <f>$AX$3</f>
        <v>5</v>
      </c>
      <c r="M13" s="5">
        <v>0</v>
      </c>
      <c r="N13" s="5">
        <v>100</v>
      </c>
      <c r="O13" s="5">
        <v>0</v>
      </c>
      <c r="P13" s="30">
        <v>0</v>
      </c>
      <c r="Q13" s="5"/>
      <c r="R13" s="5"/>
      <c r="S13" s="51">
        <v>0</v>
      </c>
      <c r="T13" s="5"/>
      <c r="U13" s="5"/>
      <c r="V13" s="5"/>
      <c r="W13" s="5"/>
      <c r="X13" s="30">
        <v>1</v>
      </c>
      <c r="Y13" s="5">
        <v>0</v>
      </c>
      <c r="Z13" s="5"/>
      <c r="AA13" s="5"/>
      <c r="AB13" s="62"/>
      <c r="AC13" s="14"/>
      <c r="AD13" s="5"/>
      <c r="AE13" s="62"/>
      <c r="AF13" s="5">
        <v>0</v>
      </c>
      <c r="AG13" s="5"/>
      <c r="AH13" s="30"/>
      <c r="AI13" s="62"/>
      <c r="AJ13" s="5"/>
      <c r="AK13" s="5"/>
      <c r="AL13" s="62"/>
      <c r="AM13" s="5"/>
      <c r="AN13" s="30"/>
      <c r="AO13" s="115"/>
    </row>
    <row r="14" spans="2:50" ht="15.75" thickBot="1" x14ac:dyDescent="0.3">
      <c r="B14" s="82" t="s">
        <v>9</v>
      </c>
      <c r="C14" s="14" t="s">
        <v>38</v>
      </c>
      <c r="D14" s="5" t="s">
        <v>114</v>
      </c>
      <c r="E14" s="5" t="s">
        <v>52</v>
      </c>
      <c r="F14" s="5">
        <v>1</v>
      </c>
      <c r="G14" s="5">
        <v>0</v>
      </c>
      <c r="H14" s="5">
        <v>0</v>
      </c>
      <c r="I14" s="5">
        <v>2</v>
      </c>
      <c r="J14" s="5">
        <v>5</v>
      </c>
      <c r="K14" s="30">
        <v>0</v>
      </c>
      <c r="L14" s="5">
        <f>$AX$3</f>
        <v>5</v>
      </c>
      <c r="M14" s="5">
        <v>0</v>
      </c>
      <c r="N14" s="5">
        <v>100</v>
      </c>
      <c r="O14" s="5">
        <v>0</v>
      </c>
      <c r="P14" s="30">
        <v>0</v>
      </c>
      <c r="Q14" s="5"/>
      <c r="R14" s="5"/>
      <c r="S14" s="51">
        <v>0</v>
      </c>
      <c r="T14" s="5"/>
      <c r="U14" s="5"/>
      <c r="V14" s="5"/>
      <c r="W14" s="5"/>
      <c r="X14" s="30">
        <v>1</v>
      </c>
      <c r="Y14" s="5">
        <v>0</v>
      </c>
      <c r="Z14" s="5"/>
      <c r="AA14" s="5"/>
      <c r="AB14" s="62"/>
      <c r="AC14" s="14"/>
      <c r="AD14" s="5"/>
      <c r="AE14" s="62"/>
      <c r="AF14" s="5">
        <v>0</v>
      </c>
      <c r="AG14" s="5"/>
      <c r="AH14" s="30"/>
      <c r="AI14" s="62"/>
      <c r="AJ14" s="5"/>
      <c r="AK14" s="5"/>
      <c r="AL14" s="62"/>
      <c r="AM14" s="5"/>
      <c r="AN14" s="30"/>
      <c r="AO14" s="115"/>
    </row>
    <row r="15" spans="2:50" ht="15.75" thickBot="1" x14ac:dyDescent="0.3">
      <c r="B15" s="83" t="s">
        <v>10</v>
      </c>
      <c r="C15" s="15" t="s">
        <v>61</v>
      </c>
      <c r="D15" s="6" t="s">
        <v>117</v>
      </c>
      <c r="E15" s="6" t="s">
        <v>52</v>
      </c>
      <c r="F15" s="6">
        <v>1</v>
      </c>
      <c r="G15" s="6">
        <v>0</v>
      </c>
      <c r="H15" s="6">
        <v>0</v>
      </c>
      <c r="I15" s="6">
        <v>2</v>
      </c>
      <c r="J15" s="6">
        <v>11</v>
      </c>
      <c r="K15" s="31">
        <v>0</v>
      </c>
      <c r="L15" s="6">
        <v>0</v>
      </c>
      <c r="M15" s="6">
        <v>0</v>
      </c>
      <c r="N15" s="6">
        <v>100</v>
      </c>
      <c r="O15" s="6">
        <v>1</v>
      </c>
      <c r="P15" s="31">
        <v>0</v>
      </c>
      <c r="Q15" s="6"/>
      <c r="R15" s="6"/>
      <c r="S15" s="52">
        <v>0</v>
      </c>
      <c r="T15" s="6"/>
      <c r="U15" s="6"/>
      <c r="V15" s="6"/>
      <c r="W15" s="6"/>
      <c r="X15" s="31">
        <v>1</v>
      </c>
      <c r="Y15" s="6">
        <v>0</v>
      </c>
      <c r="Z15" s="6"/>
      <c r="AA15" s="6"/>
      <c r="AB15" s="63"/>
      <c r="AC15" s="15"/>
      <c r="AD15" s="6"/>
      <c r="AE15" s="63"/>
      <c r="AF15" s="6">
        <v>0</v>
      </c>
      <c r="AG15" s="6"/>
      <c r="AH15" s="31"/>
      <c r="AI15" s="63"/>
      <c r="AJ15" s="6"/>
      <c r="AK15" s="6"/>
      <c r="AL15" s="63"/>
      <c r="AM15" s="6"/>
      <c r="AN15" s="31"/>
      <c r="AO15" s="116"/>
    </row>
    <row r="16" spans="2:50" ht="15.75" thickBot="1" x14ac:dyDescent="0.3">
      <c r="B16" s="82" t="s">
        <v>11</v>
      </c>
      <c r="C16" s="14" t="s">
        <v>38</v>
      </c>
      <c r="D16" s="5" t="s">
        <v>96</v>
      </c>
      <c r="E16" s="5" t="s">
        <v>52</v>
      </c>
      <c r="F16" s="5">
        <v>2</v>
      </c>
      <c r="G16" s="5">
        <v>0</v>
      </c>
      <c r="H16" s="5">
        <v>1</v>
      </c>
      <c r="I16" s="5">
        <v>1</v>
      </c>
      <c r="J16" s="5">
        <v>1</v>
      </c>
      <c r="K16" s="30">
        <v>0</v>
      </c>
      <c r="L16" s="5">
        <f>$AX$3</f>
        <v>5</v>
      </c>
      <c r="M16" s="5">
        <v>0</v>
      </c>
      <c r="N16" s="5">
        <v>100</v>
      </c>
      <c r="O16" s="5">
        <v>0</v>
      </c>
      <c r="P16" s="30">
        <v>0</v>
      </c>
      <c r="Q16" s="5"/>
      <c r="R16" s="5"/>
      <c r="S16" s="51">
        <v>0</v>
      </c>
      <c r="T16" s="5"/>
      <c r="U16" s="5"/>
      <c r="V16" s="5"/>
      <c r="W16" s="5"/>
      <c r="X16" s="30">
        <v>1</v>
      </c>
      <c r="Y16" s="5">
        <v>0</v>
      </c>
      <c r="Z16" s="5"/>
      <c r="AA16" s="5"/>
      <c r="AB16" s="62"/>
      <c r="AC16" s="14"/>
      <c r="AD16" s="5"/>
      <c r="AE16" s="62"/>
      <c r="AF16" s="5">
        <v>0</v>
      </c>
      <c r="AG16" s="5"/>
      <c r="AH16" s="30"/>
      <c r="AI16" s="62"/>
      <c r="AJ16" s="5"/>
      <c r="AK16" s="5"/>
      <c r="AL16" s="62"/>
      <c r="AM16" s="5"/>
      <c r="AN16" s="30"/>
      <c r="AO16" s="115"/>
    </row>
    <row r="17" spans="2:41" ht="15.75" thickBot="1" x14ac:dyDescent="0.3">
      <c r="B17" s="83" t="s">
        <v>12</v>
      </c>
      <c r="C17" s="15" t="s">
        <v>60</v>
      </c>
      <c r="D17" s="6" t="s">
        <v>118</v>
      </c>
      <c r="E17" s="6" t="s">
        <v>52</v>
      </c>
      <c r="F17" s="6">
        <v>1</v>
      </c>
      <c r="G17" s="6">
        <v>0</v>
      </c>
      <c r="H17" s="6">
        <v>0</v>
      </c>
      <c r="I17" s="6">
        <v>2</v>
      </c>
      <c r="J17" s="6">
        <v>13</v>
      </c>
      <c r="K17" s="31">
        <v>0</v>
      </c>
      <c r="L17" s="6">
        <v>0</v>
      </c>
      <c r="M17" s="6">
        <v>0</v>
      </c>
      <c r="N17" s="6">
        <v>100</v>
      </c>
      <c r="O17" s="6">
        <v>0</v>
      </c>
      <c r="P17" s="31">
        <v>1</v>
      </c>
      <c r="Q17" s="6">
        <v>3</v>
      </c>
      <c r="R17" s="6">
        <v>2</v>
      </c>
      <c r="S17" s="52">
        <v>0</v>
      </c>
      <c r="T17" s="6"/>
      <c r="U17" s="6"/>
      <c r="V17" s="6"/>
      <c r="W17" s="6"/>
      <c r="X17" s="31">
        <v>1</v>
      </c>
      <c r="Y17" s="6">
        <v>0</v>
      </c>
      <c r="Z17" s="6"/>
      <c r="AA17" s="6"/>
      <c r="AB17" s="63"/>
      <c r="AC17" s="15"/>
      <c r="AD17" s="6"/>
      <c r="AE17" s="63"/>
      <c r="AF17" s="6">
        <v>1</v>
      </c>
      <c r="AG17" s="6"/>
      <c r="AH17" s="31"/>
      <c r="AI17" s="63"/>
      <c r="AJ17" s="6"/>
      <c r="AK17" s="6"/>
      <c r="AL17" s="63"/>
      <c r="AM17" s="6"/>
      <c r="AN17" s="31"/>
      <c r="AO17" s="116"/>
    </row>
    <row r="18" spans="2:41" ht="15.75" thickBot="1" x14ac:dyDescent="0.3">
      <c r="B18" s="84" t="s">
        <v>13</v>
      </c>
      <c r="C18" s="12" t="s">
        <v>39</v>
      </c>
      <c r="D18" s="3"/>
      <c r="E18" s="3"/>
      <c r="F18" s="3"/>
      <c r="G18" s="3"/>
      <c r="H18" s="3"/>
      <c r="I18" s="3"/>
      <c r="J18" s="3"/>
      <c r="K18" s="28"/>
      <c r="L18" s="3"/>
      <c r="M18" s="3"/>
      <c r="N18" s="3"/>
      <c r="O18" s="3"/>
      <c r="P18" s="28" t="s">
        <v>69</v>
      </c>
      <c r="Q18" s="3"/>
      <c r="R18" s="3"/>
      <c r="S18" s="49">
        <v>0</v>
      </c>
      <c r="T18" s="3"/>
      <c r="U18" s="3"/>
      <c r="V18" s="3"/>
      <c r="W18" s="3"/>
      <c r="X18" s="28"/>
      <c r="Y18" s="3"/>
      <c r="Z18" s="3"/>
      <c r="AA18" s="3"/>
      <c r="AB18" s="60"/>
      <c r="AC18" s="112"/>
      <c r="AD18" s="3"/>
      <c r="AE18" s="60"/>
      <c r="AF18" s="3"/>
      <c r="AG18" s="3"/>
      <c r="AH18" s="28"/>
      <c r="AI18" s="60"/>
      <c r="AJ18" s="3"/>
      <c r="AK18" s="3"/>
      <c r="AL18" s="60"/>
      <c r="AM18" s="3"/>
      <c r="AN18" s="28"/>
      <c r="AO18" s="113"/>
    </row>
    <row r="19" spans="2:41" ht="15.75" thickBot="1" x14ac:dyDescent="0.3">
      <c r="B19" s="80" t="s">
        <v>14</v>
      </c>
      <c r="C19" s="12" t="s">
        <v>39</v>
      </c>
      <c r="D19" s="3"/>
      <c r="E19" s="3"/>
      <c r="F19" s="3"/>
      <c r="G19" s="3"/>
      <c r="H19" s="3"/>
      <c r="I19" s="3"/>
      <c r="J19" s="3"/>
      <c r="K19" s="28"/>
      <c r="L19" s="3"/>
      <c r="M19" s="3"/>
      <c r="N19" s="3"/>
      <c r="O19" s="3"/>
      <c r="P19" s="28"/>
      <c r="Q19" s="3"/>
      <c r="R19" s="3"/>
      <c r="S19" s="49">
        <v>0</v>
      </c>
      <c r="T19" s="3"/>
      <c r="U19" s="3"/>
      <c r="V19" s="3"/>
      <c r="W19" s="3"/>
      <c r="X19" s="28"/>
      <c r="Y19" s="3"/>
      <c r="Z19" s="3"/>
      <c r="AA19" s="3"/>
      <c r="AB19" s="60"/>
      <c r="AC19" s="112"/>
      <c r="AD19" s="3"/>
      <c r="AE19" s="60"/>
      <c r="AF19" s="3"/>
      <c r="AG19" s="3"/>
      <c r="AH19" s="28"/>
      <c r="AI19" s="60"/>
      <c r="AJ19" s="3"/>
      <c r="AK19" s="3"/>
      <c r="AL19" s="60"/>
      <c r="AM19" s="3"/>
      <c r="AN19" s="28"/>
      <c r="AO19" s="113"/>
    </row>
    <row r="20" spans="2:41" ht="15.75" thickBot="1" x14ac:dyDescent="0.3">
      <c r="B20" s="85" t="s">
        <v>15</v>
      </c>
      <c r="C20" s="16" t="s">
        <v>37</v>
      </c>
      <c r="D20" s="7" t="s">
        <v>121</v>
      </c>
      <c r="E20" s="7" t="s">
        <v>52</v>
      </c>
      <c r="F20" s="7">
        <v>1</v>
      </c>
      <c r="G20" s="7">
        <v>0</v>
      </c>
      <c r="H20" s="7">
        <v>0</v>
      </c>
      <c r="I20" s="7">
        <v>1</v>
      </c>
      <c r="J20" s="7">
        <v>3</v>
      </c>
      <c r="K20" s="32">
        <f>$AR$3</f>
        <v>5</v>
      </c>
      <c r="L20" s="7">
        <f>$AU$3</f>
        <v>5</v>
      </c>
      <c r="M20" s="7">
        <v>0</v>
      </c>
      <c r="N20" s="7">
        <v>5</v>
      </c>
      <c r="O20" s="7">
        <v>0</v>
      </c>
      <c r="P20" s="32">
        <v>0</v>
      </c>
      <c r="Q20" s="7"/>
      <c r="R20" s="7"/>
      <c r="S20" s="53">
        <v>0</v>
      </c>
      <c r="T20" s="7"/>
      <c r="U20" s="7"/>
      <c r="V20" s="7"/>
      <c r="W20" s="7"/>
      <c r="X20" s="32">
        <v>1</v>
      </c>
      <c r="Y20" s="7">
        <v>0</v>
      </c>
      <c r="Z20" s="7"/>
      <c r="AA20" s="7"/>
      <c r="AB20" s="64"/>
      <c r="AC20" s="16"/>
      <c r="AD20" s="7"/>
      <c r="AE20" s="64"/>
      <c r="AF20" s="7">
        <v>0</v>
      </c>
      <c r="AG20" s="7"/>
      <c r="AH20" s="32"/>
      <c r="AI20" s="64"/>
      <c r="AJ20" s="7"/>
      <c r="AK20" s="7"/>
      <c r="AL20" s="64"/>
      <c r="AM20" s="7"/>
      <c r="AN20" s="32"/>
      <c r="AO20" s="117"/>
    </row>
    <row r="21" spans="2:41" ht="15.75" thickBot="1" x14ac:dyDescent="0.3">
      <c r="B21" s="80" t="s">
        <v>16</v>
      </c>
      <c r="C21" s="12" t="s">
        <v>39</v>
      </c>
      <c r="D21" s="3"/>
      <c r="E21" s="3"/>
      <c r="F21" s="3"/>
      <c r="G21" s="3"/>
      <c r="H21" s="3"/>
      <c r="I21" s="3"/>
      <c r="J21" s="3"/>
      <c r="K21" s="28"/>
      <c r="L21" s="3"/>
      <c r="M21" s="3"/>
      <c r="N21" s="3"/>
      <c r="O21" s="3"/>
      <c r="P21" s="28"/>
      <c r="Q21" s="3"/>
      <c r="R21" s="3"/>
      <c r="S21" s="49">
        <v>0</v>
      </c>
      <c r="T21" s="3"/>
      <c r="U21" s="3"/>
      <c r="V21" s="3"/>
      <c r="W21" s="3"/>
      <c r="X21" s="28"/>
      <c r="Y21" s="3"/>
      <c r="Z21" s="3"/>
      <c r="AA21" s="3"/>
      <c r="AB21" s="60"/>
      <c r="AC21" s="112"/>
      <c r="AD21" s="3"/>
      <c r="AE21" s="60"/>
      <c r="AF21" s="3"/>
      <c r="AG21" s="3"/>
      <c r="AH21" s="28"/>
      <c r="AI21" s="60"/>
      <c r="AJ21" s="3"/>
      <c r="AK21" s="3"/>
      <c r="AL21" s="60"/>
      <c r="AM21" s="3"/>
      <c r="AN21" s="28"/>
      <c r="AO21" s="113"/>
    </row>
    <row r="22" spans="2:41" ht="15.75" thickBot="1" x14ac:dyDescent="0.3">
      <c r="B22" s="85" t="s">
        <v>17</v>
      </c>
      <c r="C22" s="17" t="s">
        <v>37</v>
      </c>
      <c r="D22" s="7" t="s">
        <v>122</v>
      </c>
      <c r="E22" s="7" t="s">
        <v>52</v>
      </c>
      <c r="F22" s="7">
        <v>1</v>
      </c>
      <c r="G22" s="7">
        <v>0</v>
      </c>
      <c r="H22" s="7">
        <v>0</v>
      </c>
      <c r="I22" s="7">
        <v>1</v>
      </c>
      <c r="J22" s="7">
        <v>7</v>
      </c>
      <c r="K22" s="32">
        <f>$AR$3</f>
        <v>5</v>
      </c>
      <c r="L22" s="7">
        <f>$AU$3</f>
        <v>5</v>
      </c>
      <c r="M22" s="7">
        <v>0</v>
      </c>
      <c r="N22" s="7">
        <v>5</v>
      </c>
      <c r="O22" s="7">
        <v>0</v>
      </c>
      <c r="P22" s="32">
        <v>0</v>
      </c>
      <c r="Q22" s="7"/>
      <c r="R22" s="7"/>
      <c r="S22" s="53">
        <v>0</v>
      </c>
      <c r="T22" s="7"/>
      <c r="U22" s="7"/>
      <c r="V22" s="7"/>
      <c r="W22" s="7"/>
      <c r="X22" s="32">
        <v>1</v>
      </c>
      <c r="Y22" s="7">
        <v>0</v>
      </c>
      <c r="Z22" s="7"/>
      <c r="AA22" s="7"/>
      <c r="AB22" s="64"/>
      <c r="AC22" s="16"/>
      <c r="AD22" s="7"/>
      <c r="AE22" s="64"/>
      <c r="AF22" s="7">
        <v>0</v>
      </c>
      <c r="AG22" s="7"/>
      <c r="AH22" s="32"/>
      <c r="AI22" s="64"/>
      <c r="AJ22" s="7"/>
      <c r="AK22" s="7"/>
      <c r="AL22" s="64"/>
      <c r="AM22" s="7">
        <v>0</v>
      </c>
      <c r="AN22" s="32"/>
      <c r="AO22" s="117"/>
    </row>
    <row r="23" spans="2:41" ht="15.75" thickBot="1" x14ac:dyDescent="0.3">
      <c r="B23" s="85" t="s">
        <v>18</v>
      </c>
      <c r="C23" s="17" t="s">
        <v>37</v>
      </c>
      <c r="D23" s="7" t="s">
        <v>127</v>
      </c>
      <c r="E23" s="7" t="s">
        <v>52</v>
      </c>
      <c r="F23" s="7">
        <v>1</v>
      </c>
      <c r="G23" s="7">
        <v>0</v>
      </c>
      <c r="H23" s="7">
        <v>0</v>
      </c>
      <c r="I23" s="7">
        <v>1</v>
      </c>
      <c r="J23" s="7">
        <v>11</v>
      </c>
      <c r="K23" s="32">
        <f>$AR$3</f>
        <v>5</v>
      </c>
      <c r="L23" s="7">
        <f>$AU$3</f>
        <v>5</v>
      </c>
      <c r="M23" s="7">
        <v>0</v>
      </c>
      <c r="N23" s="7">
        <v>5</v>
      </c>
      <c r="O23" s="7">
        <v>0</v>
      </c>
      <c r="P23" s="32">
        <v>0</v>
      </c>
      <c r="Q23" s="7"/>
      <c r="R23" s="7"/>
      <c r="S23" s="53">
        <v>0</v>
      </c>
      <c r="T23" s="7"/>
      <c r="U23" s="7"/>
      <c r="V23" s="7"/>
      <c r="W23" s="7"/>
      <c r="X23" s="32">
        <v>1</v>
      </c>
      <c r="Y23" s="7">
        <v>0</v>
      </c>
      <c r="Z23" s="7"/>
      <c r="AA23" s="7"/>
      <c r="AB23" s="64"/>
      <c r="AC23" s="16"/>
      <c r="AD23" s="7"/>
      <c r="AE23" s="64"/>
      <c r="AF23" s="7">
        <v>0</v>
      </c>
      <c r="AG23" s="7"/>
      <c r="AH23" s="32"/>
      <c r="AI23" s="64"/>
      <c r="AJ23" s="7"/>
      <c r="AK23" s="7"/>
      <c r="AL23" s="64"/>
      <c r="AM23" s="7"/>
      <c r="AN23" s="32"/>
      <c r="AO23" s="117"/>
    </row>
    <row r="24" spans="2:41" ht="15.75" thickBot="1" x14ac:dyDescent="0.3">
      <c r="B24" s="80" t="s">
        <v>5</v>
      </c>
      <c r="C24" s="12" t="s">
        <v>39</v>
      </c>
      <c r="D24" s="3"/>
      <c r="E24" s="3"/>
      <c r="F24" s="3"/>
      <c r="G24" s="3"/>
      <c r="H24" s="3"/>
      <c r="I24" s="3"/>
      <c r="J24" s="3"/>
      <c r="K24" s="28"/>
      <c r="L24" s="3"/>
      <c r="M24" s="3"/>
      <c r="N24" s="3"/>
      <c r="O24" s="3"/>
      <c r="P24" s="28"/>
      <c r="Q24" s="3"/>
      <c r="R24" s="3"/>
      <c r="S24" s="49">
        <v>0</v>
      </c>
      <c r="T24" s="3"/>
      <c r="U24" s="3"/>
      <c r="V24" s="3"/>
      <c r="W24" s="3"/>
      <c r="X24" s="28"/>
      <c r="Y24" s="3"/>
      <c r="Z24" s="3"/>
      <c r="AA24" s="3"/>
      <c r="AB24" s="60"/>
      <c r="AC24" s="112"/>
      <c r="AD24" s="3"/>
      <c r="AE24" s="60"/>
      <c r="AF24" s="3"/>
      <c r="AG24" s="3"/>
      <c r="AH24" s="28"/>
      <c r="AI24" s="60"/>
      <c r="AJ24" s="3"/>
      <c r="AK24" s="3"/>
      <c r="AL24" s="60"/>
      <c r="AM24" s="3"/>
      <c r="AN24" s="28"/>
      <c r="AO24" s="113"/>
    </row>
    <row r="25" spans="2:41" ht="15.75" thickBot="1" x14ac:dyDescent="0.3">
      <c r="B25" s="85" t="s">
        <v>19</v>
      </c>
      <c r="C25" s="17" t="s">
        <v>37</v>
      </c>
      <c r="D25" s="7" t="s">
        <v>126</v>
      </c>
      <c r="E25" s="7" t="s">
        <v>52</v>
      </c>
      <c r="F25" s="7">
        <v>1</v>
      </c>
      <c r="G25" s="7">
        <v>0</v>
      </c>
      <c r="H25" s="7">
        <v>0</v>
      </c>
      <c r="I25" s="7">
        <v>1</v>
      </c>
      <c r="J25" s="7">
        <v>17</v>
      </c>
      <c r="K25" s="32">
        <f>$AR$3</f>
        <v>5</v>
      </c>
      <c r="L25" s="7">
        <f>$AU$3</f>
        <v>5</v>
      </c>
      <c r="M25" s="7">
        <v>0</v>
      </c>
      <c r="N25" s="7">
        <v>5</v>
      </c>
      <c r="O25" s="7">
        <v>3</v>
      </c>
      <c r="P25" s="32">
        <v>1</v>
      </c>
      <c r="Q25" s="7">
        <v>4</v>
      </c>
      <c r="R25" s="7">
        <v>1</v>
      </c>
      <c r="S25" s="53">
        <v>0</v>
      </c>
      <c r="T25" s="7"/>
      <c r="U25" s="7"/>
      <c r="V25" s="7"/>
      <c r="W25" s="7"/>
      <c r="X25" s="32">
        <v>1</v>
      </c>
      <c r="Y25" s="7">
        <v>0</v>
      </c>
      <c r="Z25" s="7"/>
      <c r="AA25" s="7"/>
      <c r="AB25" s="64"/>
      <c r="AC25" s="16"/>
      <c r="AD25" s="7"/>
      <c r="AE25" s="64"/>
      <c r="AF25" s="7">
        <v>0</v>
      </c>
      <c r="AG25" s="7"/>
      <c r="AH25" s="32"/>
      <c r="AI25" s="64"/>
      <c r="AJ25" s="7"/>
      <c r="AK25" s="7"/>
      <c r="AL25" s="64"/>
      <c r="AM25" s="7"/>
      <c r="AN25" s="32"/>
      <c r="AO25" s="117"/>
    </row>
    <row r="26" spans="2:41" ht="15.75" thickBot="1" x14ac:dyDescent="0.3">
      <c r="B26" s="1"/>
      <c r="C26" s="22"/>
      <c r="D26" s="23"/>
      <c r="E26" s="23"/>
      <c r="F26" s="23"/>
      <c r="G26" s="23"/>
      <c r="H26" s="23"/>
      <c r="I26" s="23"/>
      <c r="J26" s="23"/>
      <c r="K26" s="23"/>
      <c r="L26" s="35"/>
      <c r="M26" s="35"/>
      <c r="N26" s="35"/>
      <c r="O26" s="35"/>
      <c r="P26" s="36"/>
      <c r="Q26" s="35"/>
      <c r="R26" s="35"/>
      <c r="S26" s="23"/>
      <c r="T26" s="35"/>
      <c r="U26" s="35"/>
      <c r="V26" s="35"/>
      <c r="W26" s="35"/>
      <c r="X26" s="36"/>
      <c r="Y26" s="35"/>
      <c r="Z26" s="35"/>
      <c r="AA26" s="35"/>
      <c r="AB26" s="65"/>
      <c r="AC26" s="118"/>
      <c r="AD26" s="35"/>
      <c r="AE26" s="65"/>
      <c r="AF26" s="23"/>
      <c r="AG26" s="23"/>
      <c r="AH26" s="23"/>
      <c r="AI26" s="65"/>
      <c r="AJ26" s="35"/>
      <c r="AK26" s="35"/>
      <c r="AL26" s="65"/>
      <c r="AM26" s="35"/>
      <c r="AN26" s="36"/>
      <c r="AO26" s="119"/>
    </row>
    <row r="27" spans="2:41" ht="15.75" thickBot="1" x14ac:dyDescent="0.3">
      <c r="B27" s="79" t="s">
        <v>20</v>
      </c>
      <c r="C27" s="11" t="s">
        <v>60</v>
      </c>
      <c r="D27" s="2" t="s">
        <v>107</v>
      </c>
      <c r="E27" s="2" t="s">
        <v>52</v>
      </c>
      <c r="F27" s="2">
        <v>1</v>
      </c>
      <c r="G27" s="2">
        <v>0</v>
      </c>
      <c r="H27" s="2">
        <v>0</v>
      </c>
      <c r="I27" s="2">
        <v>2</v>
      </c>
      <c r="J27" s="2">
        <v>7</v>
      </c>
      <c r="K27" s="27">
        <f>$AT$3</f>
        <v>5</v>
      </c>
      <c r="L27" s="2">
        <f>$AW$3</f>
        <v>5</v>
      </c>
      <c r="M27" s="2">
        <v>0</v>
      </c>
      <c r="N27" s="2">
        <v>5</v>
      </c>
      <c r="O27" s="2">
        <v>0</v>
      </c>
      <c r="P27" s="27">
        <v>0</v>
      </c>
      <c r="Q27" s="2"/>
      <c r="R27" s="2"/>
      <c r="S27" s="48">
        <v>0</v>
      </c>
      <c r="T27" s="2"/>
      <c r="U27" s="2"/>
      <c r="V27" s="2"/>
      <c r="W27" s="2"/>
      <c r="X27" s="27">
        <v>1</v>
      </c>
      <c r="Y27" s="2">
        <v>0</v>
      </c>
      <c r="Z27" s="2"/>
      <c r="AA27" s="2"/>
      <c r="AB27" s="59"/>
      <c r="AC27" s="11"/>
      <c r="AD27" s="2"/>
      <c r="AE27" s="59"/>
      <c r="AF27" s="2">
        <v>0</v>
      </c>
      <c r="AG27" s="2"/>
      <c r="AH27" s="27"/>
      <c r="AI27" s="59"/>
      <c r="AJ27" s="2"/>
      <c r="AK27" s="2"/>
      <c r="AL27" s="59"/>
      <c r="AM27" s="2"/>
      <c r="AN27" s="27"/>
      <c r="AO27" s="111"/>
    </row>
    <row r="28" spans="2:41" ht="15.75" thickBot="1" x14ac:dyDescent="0.3">
      <c r="B28" s="79" t="s">
        <v>21</v>
      </c>
      <c r="C28" s="11" t="s">
        <v>38</v>
      </c>
      <c r="D28" s="2" t="s">
        <v>108</v>
      </c>
      <c r="E28" s="2" t="s">
        <v>52</v>
      </c>
      <c r="F28" s="2">
        <v>1</v>
      </c>
      <c r="G28" s="2">
        <v>0</v>
      </c>
      <c r="H28" s="2">
        <v>0</v>
      </c>
      <c r="I28" s="2">
        <v>2</v>
      </c>
      <c r="J28" s="2">
        <v>9</v>
      </c>
      <c r="K28" s="27">
        <f>$AT$3</f>
        <v>5</v>
      </c>
      <c r="L28" s="2">
        <f>$AW$3</f>
        <v>5</v>
      </c>
      <c r="M28" s="2">
        <v>0</v>
      </c>
      <c r="N28" s="2">
        <v>5</v>
      </c>
      <c r="O28" s="2">
        <v>0</v>
      </c>
      <c r="P28" s="27">
        <v>0</v>
      </c>
      <c r="Q28" s="2"/>
      <c r="R28" s="2"/>
      <c r="S28" s="48">
        <v>0</v>
      </c>
      <c r="T28" s="2"/>
      <c r="U28" s="2"/>
      <c r="V28" s="2"/>
      <c r="W28" s="2"/>
      <c r="X28" s="27">
        <v>1</v>
      </c>
      <c r="Y28" s="2">
        <v>0</v>
      </c>
      <c r="Z28" s="2"/>
      <c r="AA28" s="2"/>
      <c r="AB28" s="59"/>
      <c r="AC28" s="11"/>
      <c r="AD28" s="2"/>
      <c r="AE28" s="59"/>
      <c r="AF28" s="2">
        <v>0</v>
      </c>
      <c r="AG28" s="2"/>
      <c r="AH28" s="27"/>
      <c r="AI28" s="59"/>
      <c r="AJ28" s="2"/>
      <c r="AK28" s="2"/>
      <c r="AL28" s="59"/>
      <c r="AM28" s="2"/>
      <c r="AN28" s="27"/>
      <c r="AO28" s="111"/>
    </row>
    <row r="29" spans="2:41" ht="15.75" thickBot="1" x14ac:dyDescent="0.3">
      <c r="B29" s="79" t="s">
        <v>22</v>
      </c>
      <c r="C29" s="11" t="s">
        <v>61</v>
      </c>
      <c r="D29" s="2" t="s">
        <v>103</v>
      </c>
      <c r="E29" s="2" t="s">
        <v>52</v>
      </c>
      <c r="F29" s="2">
        <v>1</v>
      </c>
      <c r="G29" s="2">
        <v>0</v>
      </c>
      <c r="H29" s="2">
        <v>0</v>
      </c>
      <c r="I29" s="2">
        <v>2</v>
      </c>
      <c r="J29" s="2">
        <v>15</v>
      </c>
      <c r="K29" s="27">
        <f>$AT$3</f>
        <v>5</v>
      </c>
      <c r="L29" s="2">
        <f>$AW$3</f>
        <v>5</v>
      </c>
      <c r="M29" s="2">
        <v>0</v>
      </c>
      <c r="N29" s="2">
        <v>5</v>
      </c>
      <c r="O29" s="2">
        <v>0</v>
      </c>
      <c r="P29" s="27">
        <v>1</v>
      </c>
      <c r="Q29" s="2">
        <v>1</v>
      </c>
      <c r="R29" s="2">
        <v>2</v>
      </c>
      <c r="S29" s="48">
        <v>0</v>
      </c>
      <c r="T29" s="2"/>
      <c r="U29" s="2"/>
      <c r="V29" s="2"/>
      <c r="W29" s="2"/>
      <c r="X29" s="27">
        <v>1</v>
      </c>
      <c r="Y29" s="2">
        <v>0</v>
      </c>
      <c r="Z29" s="2"/>
      <c r="AA29" s="2"/>
      <c r="AB29" s="59"/>
      <c r="AC29" s="11"/>
      <c r="AD29" s="2"/>
      <c r="AE29" s="59"/>
      <c r="AF29" s="2">
        <v>0</v>
      </c>
      <c r="AG29" s="2"/>
      <c r="AH29" s="27"/>
      <c r="AI29" s="59"/>
      <c r="AJ29" s="2"/>
      <c r="AK29" s="2"/>
      <c r="AL29" s="59"/>
      <c r="AM29" s="2"/>
      <c r="AN29" s="27"/>
      <c r="AO29" s="111"/>
    </row>
    <row r="30" spans="2:41" ht="15.75" thickBot="1" x14ac:dyDescent="0.3">
      <c r="B30" s="79" t="s">
        <v>23</v>
      </c>
      <c r="C30" s="11" t="s">
        <v>61</v>
      </c>
      <c r="D30" s="2" t="s">
        <v>104</v>
      </c>
      <c r="E30" s="2" t="s">
        <v>52</v>
      </c>
      <c r="F30" s="2">
        <v>1</v>
      </c>
      <c r="G30" s="2">
        <v>0</v>
      </c>
      <c r="H30" s="2">
        <v>0</v>
      </c>
      <c r="I30" s="2">
        <v>2</v>
      </c>
      <c r="J30" s="2">
        <v>17</v>
      </c>
      <c r="K30" s="27">
        <f>$AT$3</f>
        <v>5</v>
      </c>
      <c r="L30" s="2">
        <f>$AW$3</f>
        <v>5</v>
      </c>
      <c r="M30" s="2">
        <v>0</v>
      </c>
      <c r="N30" s="2">
        <v>5</v>
      </c>
      <c r="O30" s="2">
        <v>0</v>
      </c>
      <c r="P30" s="27">
        <v>1</v>
      </c>
      <c r="Q30" s="2">
        <v>2</v>
      </c>
      <c r="R30" s="2">
        <v>2</v>
      </c>
      <c r="S30" s="48">
        <v>0</v>
      </c>
      <c r="T30" s="2">
        <v>1</v>
      </c>
      <c r="U30" s="2">
        <v>3950</v>
      </c>
      <c r="V30" s="2">
        <v>10000</v>
      </c>
      <c r="W30" s="2">
        <f>25+273.15</f>
        <v>298.14999999999998</v>
      </c>
      <c r="X30" s="27">
        <v>1</v>
      </c>
      <c r="Y30" s="2">
        <v>0</v>
      </c>
      <c r="Z30" s="2">
        <v>1</v>
      </c>
      <c r="AA30" s="2">
        <v>50</v>
      </c>
      <c r="AB30" s="59">
        <v>100</v>
      </c>
      <c r="AC30" s="11"/>
      <c r="AD30" s="2"/>
      <c r="AE30" s="59"/>
      <c r="AF30" s="2">
        <v>0</v>
      </c>
      <c r="AG30" s="2"/>
      <c r="AH30" s="27"/>
      <c r="AI30" s="59"/>
      <c r="AJ30" s="2"/>
      <c r="AK30" s="2"/>
      <c r="AL30" s="59"/>
      <c r="AM30" s="2">
        <v>0</v>
      </c>
      <c r="AN30" s="27"/>
      <c r="AO30" s="111"/>
    </row>
    <row r="31" spans="2:41" ht="15.75" thickBot="1" x14ac:dyDescent="0.3">
      <c r="B31" s="81" t="s">
        <v>24</v>
      </c>
      <c r="C31" s="13" t="s">
        <v>60</v>
      </c>
      <c r="D31" s="4" t="s">
        <v>111</v>
      </c>
      <c r="E31" s="4" t="s">
        <v>52</v>
      </c>
      <c r="F31" s="4">
        <v>1</v>
      </c>
      <c r="G31" s="4">
        <v>0</v>
      </c>
      <c r="H31" s="4">
        <v>0</v>
      </c>
      <c r="I31" s="4">
        <v>2</v>
      </c>
      <c r="J31" s="4">
        <v>1</v>
      </c>
      <c r="K31" s="29">
        <f>$AS$3</f>
        <v>5</v>
      </c>
      <c r="L31" s="4">
        <f>$AV$3</f>
        <v>5</v>
      </c>
      <c r="M31" s="4">
        <v>0</v>
      </c>
      <c r="N31" s="4">
        <v>30</v>
      </c>
      <c r="O31" s="4">
        <v>0</v>
      </c>
      <c r="P31" s="29">
        <v>0</v>
      </c>
      <c r="Q31" s="4"/>
      <c r="R31" s="4"/>
      <c r="S31" s="50">
        <v>0</v>
      </c>
      <c r="T31" s="4"/>
      <c r="U31" s="4"/>
      <c r="V31" s="4"/>
      <c r="W31" s="4"/>
      <c r="X31" s="29">
        <v>1</v>
      </c>
      <c r="Y31" s="4">
        <v>0</v>
      </c>
      <c r="Z31" s="4"/>
      <c r="AA31" s="4"/>
      <c r="AB31" s="61"/>
      <c r="AC31" s="13"/>
      <c r="AD31" s="4"/>
      <c r="AE31" s="61"/>
      <c r="AF31" s="4">
        <v>0</v>
      </c>
      <c r="AG31" s="4"/>
      <c r="AH31" s="29"/>
      <c r="AI31" s="61"/>
      <c r="AJ31" s="4"/>
      <c r="AK31" s="4"/>
      <c r="AL31" s="61"/>
      <c r="AM31" s="4">
        <v>0</v>
      </c>
      <c r="AN31" s="29"/>
      <c r="AO31" s="120"/>
    </row>
    <row r="32" spans="2:41" ht="15.75" thickBot="1" x14ac:dyDescent="0.3">
      <c r="B32" s="80" t="s">
        <v>5</v>
      </c>
      <c r="C32" s="12" t="s">
        <v>39</v>
      </c>
      <c r="D32" s="3"/>
      <c r="E32" s="3"/>
      <c r="F32" s="3"/>
      <c r="G32" s="3"/>
      <c r="H32" s="3"/>
      <c r="I32" s="3"/>
      <c r="J32" s="3"/>
      <c r="K32" s="28"/>
      <c r="L32" s="3"/>
      <c r="M32" s="3"/>
      <c r="N32" s="3"/>
      <c r="O32" s="3"/>
      <c r="P32" s="28">
        <v>0</v>
      </c>
      <c r="Q32" s="3"/>
      <c r="R32" s="3"/>
      <c r="S32" s="49">
        <v>0</v>
      </c>
      <c r="T32" s="3"/>
      <c r="U32" s="3"/>
      <c r="V32" s="3"/>
      <c r="W32" s="3"/>
      <c r="X32" s="28"/>
      <c r="Y32" s="3"/>
      <c r="Z32" s="3"/>
      <c r="AA32" s="3"/>
      <c r="AB32" s="60"/>
      <c r="AC32" s="112"/>
      <c r="AD32" s="3"/>
      <c r="AE32" s="60"/>
      <c r="AF32" s="3"/>
      <c r="AG32" s="3"/>
      <c r="AH32" s="28"/>
      <c r="AI32" s="60"/>
      <c r="AJ32" s="3"/>
      <c r="AK32" s="3"/>
      <c r="AL32" s="60"/>
      <c r="AM32" s="3"/>
      <c r="AN32" s="28"/>
      <c r="AO32" s="113"/>
    </row>
    <row r="33" spans="2:41" ht="15.75" thickBot="1" x14ac:dyDescent="0.3">
      <c r="B33" s="81" t="s">
        <v>25</v>
      </c>
      <c r="C33" s="13" t="s">
        <v>61</v>
      </c>
      <c r="D33" s="4" t="s">
        <v>112</v>
      </c>
      <c r="E33" s="4" t="s">
        <v>52</v>
      </c>
      <c r="F33" s="4">
        <v>1</v>
      </c>
      <c r="G33" s="4">
        <v>0</v>
      </c>
      <c r="H33" s="4">
        <v>0</v>
      </c>
      <c r="I33" s="4">
        <v>2</v>
      </c>
      <c r="J33" s="4">
        <v>2</v>
      </c>
      <c r="K33" s="29">
        <v>5</v>
      </c>
      <c r="L33" s="4">
        <f>$AV$3</f>
        <v>5</v>
      </c>
      <c r="M33" s="4">
        <v>0</v>
      </c>
      <c r="N33" s="4">
        <v>5</v>
      </c>
      <c r="O33" s="4">
        <v>0</v>
      </c>
      <c r="P33" s="29">
        <v>0</v>
      </c>
      <c r="Q33" s="4"/>
      <c r="R33" s="4"/>
      <c r="S33" s="50">
        <v>0</v>
      </c>
      <c r="T33" s="4"/>
      <c r="U33" s="4"/>
      <c r="V33" s="4"/>
      <c r="W33" s="4"/>
      <c r="X33" s="29">
        <v>1</v>
      </c>
      <c r="Y33" s="4">
        <v>0</v>
      </c>
      <c r="Z33" s="4"/>
      <c r="AA33" s="4"/>
      <c r="AB33" s="61"/>
      <c r="AC33" s="13"/>
      <c r="AD33" s="4"/>
      <c r="AE33" s="61"/>
      <c r="AF33" s="4">
        <v>0</v>
      </c>
      <c r="AG33" s="4"/>
      <c r="AH33" s="29"/>
      <c r="AI33" s="61"/>
      <c r="AJ33" s="4"/>
      <c r="AK33" s="4"/>
      <c r="AL33" s="61"/>
      <c r="AM33" s="4"/>
      <c r="AN33" s="29"/>
      <c r="AO33" s="114"/>
    </row>
    <row r="34" spans="2:41" ht="15.75" thickBot="1" x14ac:dyDescent="0.3">
      <c r="B34" s="82" t="s">
        <v>26</v>
      </c>
      <c r="C34" s="18" t="s">
        <v>38</v>
      </c>
      <c r="D34" s="8" t="s">
        <v>115</v>
      </c>
      <c r="E34" s="8" t="s">
        <v>52</v>
      </c>
      <c r="F34" s="8">
        <v>1</v>
      </c>
      <c r="G34" s="8">
        <v>0</v>
      </c>
      <c r="H34" s="8">
        <v>0</v>
      </c>
      <c r="I34" s="8">
        <v>2</v>
      </c>
      <c r="J34" s="8">
        <v>4</v>
      </c>
      <c r="K34" s="33">
        <v>0</v>
      </c>
      <c r="L34" s="8">
        <f>$AX$3</f>
        <v>5</v>
      </c>
      <c r="M34" s="8">
        <v>0</v>
      </c>
      <c r="N34" s="8">
        <v>5</v>
      </c>
      <c r="O34" s="8">
        <v>0</v>
      </c>
      <c r="P34" s="33">
        <v>0</v>
      </c>
      <c r="Q34" s="8"/>
      <c r="R34" s="8"/>
      <c r="S34" s="54">
        <v>0</v>
      </c>
      <c r="T34" s="8"/>
      <c r="U34" s="8"/>
      <c r="V34" s="8"/>
      <c r="W34" s="8"/>
      <c r="X34" s="33">
        <v>1</v>
      </c>
      <c r="Y34" s="8">
        <v>0</v>
      </c>
      <c r="Z34" s="8"/>
      <c r="AA34" s="8"/>
      <c r="AB34" s="19"/>
      <c r="AC34" s="18"/>
      <c r="AD34" s="8"/>
      <c r="AE34" s="19"/>
      <c r="AF34" s="8">
        <v>0</v>
      </c>
      <c r="AG34" s="8"/>
      <c r="AH34" s="33"/>
      <c r="AI34" s="19"/>
      <c r="AJ34" s="8"/>
      <c r="AK34" s="8"/>
      <c r="AL34" s="19"/>
      <c r="AM34" s="8"/>
      <c r="AN34" s="33"/>
      <c r="AO34" s="121"/>
    </row>
    <row r="35" spans="2:41" ht="15.75" thickBot="1" x14ac:dyDescent="0.3">
      <c r="B35" s="82" t="s">
        <v>27</v>
      </c>
      <c r="C35" s="18" t="s">
        <v>38</v>
      </c>
      <c r="D35" s="8" t="s">
        <v>116</v>
      </c>
      <c r="E35" s="8" t="s">
        <v>52</v>
      </c>
      <c r="F35" s="8">
        <v>1</v>
      </c>
      <c r="G35" s="8">
        <v>0</v>
      </c>
      <c r="H35" s="8">
        <v>0</v>
      </c>
      <c r="I35" s="8">
        <v>2</v>
      </c>
      <c r="J35" s="8">
        <v>6</v>
      </c>
      <c r="K35" s="33">
        <v>0</v>
      </c>
      <c r="L35" s="8">
        <f>$AX$3</f>
        <v>5</v>
      </c>
      <c r="M35" s="8">
        <v>0</v>
      </c>
      <c r="N35" s="8">
        <v>5</v>
      </c>
      <c r="O35" s="8">
        <v>0</v>
      </c>
      <c r="P35" s="33">
        <v>0</v>
      </c>
      <c r="Q35" s="8"/>
      <c r="R35" s="8"/>
      <c r="S35" s="54">
        <v>0</v>
      </c>
      <c r="T35" s="8"/>
      <c r="U35" s="8"/>
      <c r="V35" s="8"/>
      <c r="W35" s="8"/>
      <c r="X35" s="33">
        <v>1</v>
      </c>
      <c r="Y35" s="8">
        <v>0</v>
      </c>
      <c r="Z35" s="8"/>
      <c r="AA35" s="8"/>
      <c r="AB35" s="19"/>
      <c r="AC35" s="18"/>
      <c r="AD35" s="8"/>
      <c r="AE35" s="19"/>
      <c r="AF35" s="8">
        <v>0</v>
      </c>
      <c r="AG35" s="8"/>
      <c r="AH35" s="33"/>
      <c r="AI35" s="19"/>
      <c r="AJ35" s="8"/>
      <c r="AK35" s="8"/>
      <c r="AL35" s="19"/>
      <c r="AM35" s="8"/>
      <c r="AN35" s="33"/>
      <c r="AO35" s="121"/>
    </row>
    <row r="36" spans="2:41" ht="15.75" thickBot="1" x14ac:dyDescent="0.3">
      <c r="B36" s="82" t="s">
        <v>28</v>
      </c>
      <c r="C36" s="18" t="s">
        <v>38</v>
      </c>
      <c r="D36" s="8" t="s">
        <v>70</v>
      </c>
      <c r="E36" s="8" t="s">
        <v>52</v>
      </c>
      <c r="F36" s="8">
        <v>1</v>
      </c>
      <c r="G36" s="8">
        <v>0</v>
      </c>
      <c r="H36" s="8">
        <v>1</v>
      </c>
      <c r="I36" s="8">
        <v>1</v>
      </c>
      <c r="J36" s="8">
        <v>1</v>
      </c>
      <c r="K36" s="33">
        <v>0</v>
      </c>
      <c r="L36" s="8">
        <f>$AX$3</f>
        <v>5</v>
      </c>
      <c r="M36" s="8">
        <v>0</v>
      </c>
      <c r="N36" s="8">
        <v>5</v>
      </c>
      <c r="O36" s="8">
        <v>0</v>
      </c>
      <c r="P36" s="33">
        <v>0</v>
      </c>
      <c r="Q36" s="8"/>
      <c r="R36" s="8"/>
      <c r="S36" s="54">
        <v>0</v>
      </c>
      <c r="T36" s="8"/>
      <c r="U36" s="8"/>
      <c r="V36" s="8"/>
      <c r="W36" s="8"/>
      <c r="X36" s="33">
        <v>1</v>
      </c>
      <c r="Y36" s="8">
        <v>0</v>
      </c>
      <c r="Z36" s="8"/>
      <c r="AA36" s="8"/>
      <c r="AB36" s="19"/>
      <c r="AC36" s="18"/>
      <c r="AD36" s="8"/>
      <c r="AE36" s="19"/>
      <c r="AF36" s="8">
        <v>0</v>
      </c>
      <c r="AG36" s="8"/>
      <c r="AH36" s="33"/>
      <c r="AI36" s="19"/>
      <c r="AJ36" s="8"/>
      <c r="AK36" s="8"/>
      <c r="AL36" s="19"/>
      <c r="AM36" s="8"/>
      <c r="AN36" s="33"/>
      <c r="AO36" s="121"/>
    </row>
    <row r="37" spans="2:41" ht="15.75" thickBot="1" x14ac:dyDescent="0.3">
      <c r="B37" s="82" t="s">
        <v>29</v>
      </c>
      <c r="C37" s="18" t="s">
        <v>38</v>
      </c>
      <c r="D37" s="8" t="s">
        <v>5</v>
      </c>
      <c r="E37" s="8" t="s">
        <v>52</v>
      </c>
      <c r="F37" s="8">
        <v>1</v>
      </c>
      <c r="G37" s="8">
        <v>0</v>
      </c>
      <c r="H37" s="8">
        <v>1</v>
      </c>
      <c r="I37" s="8">
        <v>1</v>
      </c>
      <c r="J37" s="8">
        <v>1</v>
      </c>
      <c r="K37" s="33">
        <v>0</v>
      </c>
      <c r="L37" s="8">
        <f>$AX$3</f>
        <v>5</v>
      </c>
      <c r="M37" s="8">
        <v>0</v>
      </c>
      <c r="N37" s="8">
        <v>5</v>
      </c>
      <c r="O37" s="8">
        <v>0</v>
      </c>
      <c r="P37" s="33">
        <v>0</v>
      </c>
      <c r="Q37" s="8"/>
      <c r="R37" s="8"/>
      <c r="S37" s="54">
        <v>0</v>
      </c>
      <c r="T37" s="8"/>
      <c r="U37" s="8"/>
      <c r="V37" s="8"/>
      <c r="W37" s="8"/>
      <c r="X37" s="33">
        <v>1</v>
      </c>
      <c r="Y37" s="8">
        <v>0</v>
      </c>
      <c r="Z37" s="8"/>
      <c r="AA37" s="8"/>
      <c r="AB37" s="19"/>
      <c r="AC37" s="18"/>
      <c r="AD37" s="8"/>
      <c r="AE37" s="19"/>
      <c r="AF37" s="8">
        <v>0</v>
      </c>
      <c r="AG37" s="8"/>
      <c r="AH37" s="33"/>
      <c r="AI37" s="19"/>
      <c r="AJ37" s="8"/>
      <c r="AK37" s="8"/>
      <c r="AL37" s="19"/>
      <c r="AM37" s="8"/>
      <c r="AN37" s="33"/>
      <c r="AO37" s="121"/>
    </row>
    <row r="38" spans="2:41" ht="15.75" thickBot="1" x14ac:dyDescent="0.3">
      <c r="B38" s="83" t="s">
        <v>30</v>
      </c>
      <c r="C38" s="15" t="s">
        <v>61</v>
      </c>
      <c r="D38" s="6" t="s">
        <v>119</v>
      </c>
      <c r="E38" s="6" t="s">
        <v>52</v>
      </c>
      <c r="F38" s="6">
        <v>1</v>
      </c>
      <c r="G38" s="6">
        <v>0</v>
      </c>
      <c r="H38" s="6">
        <v>0</v>
      </c>
      <c r="I38" s="6">
        <v>2</v>
      </c>
      <c r="J38" s="6">
        <v>12</v>
      </c>
      <c r="K38" s="31">
        <v>0</v>
      </c>
      <c r="L38" s="6">
        <v>0</v>
      </c>
      <c r="M38" s="6">
        <v>0</v>
      </c>
      <c r="N38" s="6">
        <v>5</v>
      </c>
      <c r="O38" s="6">
        <v>0</v>
      </c>
      <c r="P38" s="31">
        <v>1</v>
      </c>
      <c r="Q38" s="6">
        <v>3</v>
      </c>
      <c r="R38" s="6">
        <v>1</v>
      </c>
      <c r="S38" s="52">
        <v>0</v>
      </c>
      <c r="T38" s="6"/>
      <c r="U38" s="6"/>
      <c r="V38" s="6"/>
      <c r="W38" s="6"/>
      <c r="X38" s="31">
        <v>1</v>
      </c>
      <c r="Y38" s="6">
        <v>0</v>
      </c>
      <c r="Z38" s="6"/>
      <c r="AA38" s="6"/>
      <c r="AB38" s="63"/>
      <c r="AC38" s="15"/>
      <c r="AD38" s="6"/>
      <c r="AE38" s="63"/>
      <c r="AF38" s="6">
        <v>0</v>
      </c>
      <c r="AG38" s="6"/>
      <c r="AH38" s="31"/>
      <c r="AI38" s="63"/>
      <c r="AJ38" s="6"/>
      <c r="AK38" s="6"/>
      <c r="AL38" s="63"/>
      <c r="AM38" s="6"/>
      <c r="AN38" s="31"/>
      <c r="AO38" s="116"/>
    </row>
    <row r="39" spans="2:41" ht="15.75" thickBot="1" x14ac:dyDescent="0.3">
      <c r="B39" s="86" t="s">
        <v>31</v>
      </c>
      <c r="C39" s="15" t="s">
        <v>60</v>
      </c>
      <c r="D39" s="6" t="s">
        <v>120</v>
      </c>
      <c r="E39" s="6" t="s">
        <v>52</v>
      </c>
      <c r="F39" s="6">
        <v>1</v>
      </c>
      <c r="G39" s="6">
        <v>0</v>
      </c>
      <c r="H39" s="6">
        <v>0</v>
      </c>
      <c r="I39" s="6">
        <v>2</v>
      </c>
      <c r="J39" s="6">
        <v>14</v>
      </c>
      <c r="K39" s="31">
        <v>0</v>
      </c>
      <c r="L39" s="6">
        <v>0</v>
      </c>
      <c r="M39" s="6">
        <v>0</v>
      </c>
      <c r="N39" s="6">
        <v>5</v>
      </c>
      <c r="O39" s="6">
        <v>0</v>
      </c>
      <c r="P39" s="31">
        <v>1</v>
      </c>
      <c r="Q39" s="6">
        <v>1</v>
      </c>
      <c r="R39" s="6">
        <v>1</v>
      </c>
      <c r="S39" s="52">
        <v>0</v>
      </c>
      <c r="T39" s="6"/>
      <c r="U39" s="6"/>
      <c r="V39" s="6"/>
      <c r="W39" s="6"/>
      <c r="X39" s="31">
        <v>1</v>
      </c>
      <c r="Y39" s="6">
        <v>0</v>
      </c>
      <c r="Z39" s="6"/>
      <c r="AA39" s="6"/>
      <c r="AB39" s="63"/>
      <c r="AC39" s="15"/>
      <c r="AD39" s="6"/>
      <c r="AE39" s="63"/>
      <c r="AF39" s="6">
        <v>0</v>
      </c>
      <c r="AG39" s="6"/>
      <c r="AH39" s="31"/>
      <c r="AI39" s="63"/>
      <c r="AJ39" s="6"/>
      <c r="AK39" s="6"/>
      <c r="AL39" s="63"/>
      <c r="AM39" s="6"/>
      <c r="AN39" s="31"/>
      <c r="AO39" s="116"/>
    </row>
    <row r="40" spans="2:41" ht="15.75" thickBot="1" x14ac:dyDescent="0.3">
      <c r="B40" s="83" t="s">
        <v>32</v>
      </c>
      <c r="C40" s="15" t="s">
        <v>60</v>
      </c>
      <c r="D40" s="6" t="s">
        <v>71</v>
      </c>
      <c r="E40" s="6" t="s">
        <v>52</v>
      </c>
      <c r="F40" s="6">
        <v>1</v>
      </c>
      <c r="G40" s="6">
        <v>0</v>
      </c>
      <c r="H40" s="6">
        <v>1</v>
      </c>
      <c r="I40" s="6">
        <v>1</v>
      </c>
      <c r="J40" s="6">
        <v>1</v>
      </c>
      <c r="K40" s="31">
        <v>0</v>
      </c>
      <c r="L40" s="6">
        <v>0</v>
      </c>
      <c r="M40" s="6">
        <v>0</v>
      </c>
      <c r="N40" s="6">
        <v>5</v>
      </c>
      <c r="O40" s="6">
        <v>0</v>
      </c>
      <c r="P40" s="31">
        <v>0</v>
      </c>
      <c r="Q40" s="6"/>
      <c r="R40" s="6"/>
      <c r="S40" s="52">
        <v>0</v>
      </c>
      <c r="T40" s="6"/>
      <c r="U40" s="6"/>
      <c r="V40" s="6"/>
      <c r="W40" s="6"/>
      <c r="X40" s="31">
        <v>1</v>
      </c>
      <c r="Y40" s="6">
        <v>0</v>
      </c>
      <c r="Z40" s="6"/>
      <c r="AA40" s="6"/>
      <c r="AB40" s="63"/>
      <c r="AC40" s="15"/>
      <c r="AD40" s="6"/>
      <c r="AE40" s="63"/>
      <c r="AF40" s="6">
        <v>0</v>
      </c>
      <c r="AG40" s="6"/>
      <c r="AH40" s="31"/>
      <c r="AI40" s="63"/>
      <c r="AJ40" s="6"/>
      <c r="AK40" s="6"/>
      <c r="AL40" s="63"/>
      <c r="AM40" s="6">
        <v>0</v>
      </c>
      <c r="AN40" s="31"/>
      <c r="AO40" s="116"/>
    </row>
    <row r="41" spans="2:41" ht="15.75" thickBot="1" x14ac:dyDescent="0.3">
      <c r="B41" s="85" t="s">
        <v>59</v>
      </c>
      <c r="C41" s="20" t="s">
        <v>37</v>
      </c>
      <c r="D41" s="7" t="s">
        <v>123</v>
      </c>
      <c r="E41" s="9" t="s">
        <v>52</v>
      </c>
      <c r="F41" s="9">
        <v>1</v>
      </c>
      <c r="G41" s="9">
        <v>0</v>
      </c>
      <c r="H41" s="9">
        <v>0</v>
      </c>
      <c r="I41" s="9">
        <v>1</v>
      </c>
      <c r="J41" s="9">
        <v>5</v>
      </c>
      <c r="K41" s="34">
        <f>$AR$3</f>
        <v>5</v>
      </c>
      <c r="L41" s="9">
        <f>$AU$3</f>
        <v>5</v>
      </c>
      <c r="M41" s="9">
        <v>0</v>
      </c>
      <c r="N41" s="9">
        <v>5</v>
      </c>
      <c r="O41" s="9">
        <v>0</v>
      </c>
      <c r="P41" s="34">
        <v>0</v>
      </c>
      <c r="Q41" s="9"/>
      <c r="R41" s="9"/>
      <c r="S41" s="55">
        <v>0</v>
      </c>
      <c r="T41" s="9"/>
      <c r="U41" s="9"/>
      <c r="V41" s="9"/>
      <c r="W41" s="9"/>
      <c r="X41" s="34">
        <v>1</v>
      </c>
      <c r="Y41" s="9">
        <v>0</v>
      </c>
      <c r="Z41" s="9"/>
      <c r="AA41" s="9"/>
      <c r="AB41" s="66"/>
      <c r="AC41" s="20"/>
      <c r="AD41" s="9"/>
      <c r="AE41" s="66"/>
      <c r="AF41" s="9">
        <v>0</v>
      </c>
      <c r="AG41" s="9"/>
      <c r="AH41" s="34"/>
      <c r="AI41" s="66"/>
      <c r="AJ41" s="9"/>
      <c r="AK41" s="9"/>
      <c r="AL41" s="66"/>
      <c r="AM41" s="9"/>
      <c r="AN41" s="34"/>
      <c r="AO41" s="122"/>
    </row>
    <row r="42" spans="2:41" ht="15.75" thickBot="1" x14ac:dyDescent="0.3">
      <c r="B42" s="84" t="s">
        <v>34</v>
      </c>
      <c r="C42" s="12" t="s">
        <v>39</v>
      </c>
      <c r="D42" s="3"/>
      <c r="E42" s="3"/>
      <c r="F42" s="3"/>
      <c r="G42" s="3"/>
      <c r="H42" s="3"/>
      <c r="I42" s="3"/>
      <c r="J42" s="3"/>
      <c r="K42" s="28"/>
      <c r="L42" s="3"/>
      <c r="M42" s="3"/>
      <c r="N42" s="3"/>
      <c r="O42" s="3"/>
      <c r="P42" s="28"/>
      <c r="Q42" s="3"/>
      <c r="R42" s="3"/>
      <c r="S42" s="49">
        <v>0</v>
      </c>
      <c r="T42" s="3"/>
      <c r="U42" s="3"/>
      <c r="V42" s="3"/>
      <c r="W42" s="3"/>
      <c r="X42" s="28"/>
      <c r="Y42" s="3"/>
      <c r="Z42" s="3"/>
      <c r="AA42" s="3"/>
      <c r="AB42" s="60"/>
      <c r="AC42" s="112"/>
      <c r="AD42" s="3"/>
      <c r="AE42" s="60"/>
      <c r="AF42" s="3"/>
      <c r="AG42" s="3"/>
      <c r="AH42" s="28"/>
      <c r="AI42" s="60"/>
      <c r="AJ42" s="3"/>
      <c r="AK42" s="3"/>
      <c r="AL42" s="60"/>
      <c r="AM42" s="3"/>
      <c r="AN42" s="28"/>
      <c r="AO42" s="113"/>
    </row>
    <row r="43" spans="2:41" ht="15.75" thickBot="1" x14ac:dyDescent="0.3">
      <c r="B43" s="80" t="s">
        <v>5</v>
      </c>
      <c r="C43" s="12" t="s">
        <v>39</v>
      </c>
      <c r="D43" s="3"/>
      <c r="E43" s="3"/>
      <c r="F43" s="3"/>
      <c r="G43" s="3"/>
      <c r="H43" s="3"/>
      <c r="I43" s="3"/>
      <c r="J43" s="3"/>
      <c r="K43" s="28"/>
      <c r="L43" s="3"/>
      <c r="M43" s="3"/>
      <c r="N43" s="3"/>
      <c r="O43" s="3"/>
      <c r="P43" s="28"/>
      <c r="Q43" s="3"/>
      <c r="R43" s="3"/>
      <c r="S43" s="49">
        <v>0</v>
      </c>
      <c r="T43" s="3"/>
      <c r="U43" s="3"/>
      <c r="V43" s="3"/>
      <c r="W43" s="3"/>
      <c r="X43" s="28"/>
      <c r="Y43" s="3"/>
      <c r="Z43" s="3"/>
      <c r="AA43" s="3"/>
      <c r="AB43" s="60"/>
      <c r="AC43" s="112"/>
      <c r="AD43" s="3"/>
      <c r="AE43" s="60"/>
      <c r="AF43" s="3"/>
      <c r="AG43" s="3"/>
      <c r="AH43" s="28"/>
      <c r="AI43" s="60"/>
      <c r="AJ43" s="3"/>
      <c r="AK43" s="3"/>
      <c r="AL43" s="60"/>
      <c r="AM43" s="3"/>
      <c r="AN43" s="28"/>
      <c r="AO43" s="113"/>
    </row>
    <row r="44" spans="2:41" ht="15.75" thickBot="1" x14ac:dyDescent="0.3">
      <c r="B44" s="85" t="s">
        <v>33</v>
      </c>
      <c r="C44" s="20" t="s">
        <v>37</v>
      </c>
      <c r="D44" s="7" t="s">
        <v>124</v>
      </c>
      <c r="E44" s="9" t="s">
        <v>52</v>
      </c>
      <c r="F44" s="9">
        <v>1</v>
      </c>
      <c r="G44" s="9">
        <v>0</v>
      </c>
      <c r="H44" s="9">
        <v>0</v>
      </c>
      <c r="I44" s="9">
        <v>1</v>
      </c>
      <c r="J44" s="9">
        <v>9</v>
      </c>
      <c r="K44" s="34">
        <f>$AR$3</f>
        <v>5</v>
      </c>
      <c r="L44" s="9">
        <f>$AU$3</f>
        <v>5</v>
      </c>
      <c r="M44" s="9">
        <v>0</v>
      </c>
      <c r="N44" s="9">
        <v>5</v>
      </c>
      <c r="O44" s="9">
        <v>0</v>
      </c>
      <c r="P44" s="34">
        <v>0</v>
      </c>
      <c r="Q44" s="9"/>
      <c r="R44" s="9"/>
      <c r="S44" s="55">
        <v>0</v>
      </c>
      <c r="T44" s="9"/>
      <c r="U44" s="9"/>
      <c r="V44" s="9"/>
      <c r="W44" s="9"/>
      <c r="X44" s="34">
        <v>1</v>
      </c>
      <c r="Y44" s="9">
        <v>0</v>
      </c>
      <c r="Z44" s="9"/>
      <c r="AA44" s="9"/>
      <c r="AB44" s="66"/>
      <c r="AC44" s="20"/>
      <c r="AD44" s="9"/>
      <c r="AE44" s="66"/>
      <c r="AF44" s="9">
        <v>0</v>
      </c>
      <c r="AG44" s="9"/>
      <c r="AH44" s="34"/>
      <c r="AI44" s="66"/>
      <c r="AJ44" s="9"/>
      <c r="AK44" s="9"/>
      <c r="AL44" s="66"/>
      <c r="AM44" s="9"/>
      <c r="AN44" s="34"/>
      <c r="AO44" s="122"/>
    </row>
    <row r="45" spans="2:41" ht="15.75" thickBot="1" x14ac:dyDescent="0.3">
      <c r="B45" s="85" t="s">
        <v>35</v>
      </c>
      <c r="C45" s="20" t="s">
        <v>37</v>
      </c>
      <c r="D45" s="7" t="s">
        <v>125</v>
      </c>
      <c r="E45" s="9" t="s">
        <v>52</v>
      </c>
      <c r="F45" s="9">
        <v>1</v>
      </c>
      <c r="G45" s="9">
        <v>0</v>
      </c>
      <c r="H45" s="9">
        <v>0</v>
      </c>
      <c r="I45" s="9">
        <v>1</v>
      </c>
      <c r="J45" s="9">
        <v>13</v>
      </c>
      <c r="K45" s="34">
        <f>$AR$3</f>
        <v>5</v>
      </c>
      <c r="L45" s="9">
        <f>$AU$3</f>
        <v>5</v>
      </c>
      <c r="M45" s="9">
        <v>0</v>
      </c>
      <c r="N45" s="9">
        <v>5</v>
      </c>
      <c r="O45" s="9">
        <v>0</v>
      </c>
      <c r="P45" s="34">
        <v>0</v>
      </c>
      <c r="Q45" s="9"/>
      <c r="R45" s="9"/>
      <c r="S45" s="55">
        <v>0</v>
      </c>
      <c r="T45" s="9"/>
      <c r="U45" s="9"/>
      <c r="V45" s="9"/>
      <c r="W45" s="9"/>
      <c r="X45" s="34">
        <v>1</v>
      </c>
      <c r="Y45" s="9">
        <v>0</v>
      </c>
      <c r="Z45" s="9"/>
      <c r="AA45" s="9"/>
      <c r="AB45" s="66"/>
      <c r="AC45" s="20"/>
      <c r="AD45" s="9"/>
      <c r="AE45" s="66"/>
      <c r="AF45" s="9">
        <v>0</v>
      </c>
      <c r="AG45" s="9"/>
      <c r="AH45" s="34"/>
      <c r="AI45" s="66"/>
      <c r="AJ45" s="9"/>
      <c r="AK45" s="9"/>
      <c r="AL45" s="66"/>
      <c r="AM45" s="9"/>
      <c r="AN45" s="34"/>
      <c r="AO45" s="122"/>
    </row>
    <row r="46" spans="2:41" ht="15.75" thickBot="1" x14ac:dyDescent="0.3">
      <c r="B46" s="87" t="s">
        <v>36</v>
      </c>
      <c r="C46" s="37" t="s">
        <v>37</v>
      </c>
      <c r="D46" s="7" t="s">
        <v>128</v>
      </c>
      <c r="E46" s="38" t="s">
        <v>52</v>
      </c>
      <c r="F46" s="38">
        <v>1</v>
      </c>
      <c r="G46" s="38">
        <v>0</v>
      </c>
      <c r="H46" s="38">
        <v>0</v>
      </c>
      <c r="I46" s="38">
        <v>1</v>
      </c>
      <c r="J46" s="38">
        <v>15</v>
      </c>
      <c r="K46" s="40">
        <f>$AR$3</f>
        <v>5</v>
      </c>
      <c r="L46" s="38">
        <f>$AU$3</f>
        <v>5</v>
      </c>
      <c r="M46" s="38">
        <v>0</v>
      </c>
      <c r="N46" s="38">
        <v>5</v>
      </c>
      <c r="O46" s="38">
        <v>2</v>
      </c>
      <c r="P46" s="40">
        <v>0</v>
      </c>
      <c r="Q46" s="38"/>
      <c r="R46" s="38"/>
      <c r="S46" s="56">
        <v>0</v>
      </c>
      <c r="T46" s="9"/>
      <c r="U46" s="9"/>
      <c r="V46" s="9"/>
      <c r="W46" s="9"/>
      <c r="X46" s="34">
        <v>1</v>
      </c>
      <c r="Y46" s="9">
        <v>0</v>
      </c>
      <c r="Z46" s="9"/>
      <c r="AA46" s="9"/>
      <c r="AB46" s="66"/>
      <c r="AC46" s="20"/>
      <c r="AD46" s="9"/>
      <c r="AE46" s="66"/>
      <c r="AF46" s="38">
        <v>0</v>
      </c>
      <c r="AG46" s="38"/>
      <c r="AH46" s="40"/>
      <c r="AI46" s="66"/>
      <c r="AJ46" s="9"/>
      <c r="AK46" s="9"/>
      <c r="AL46" s="66"/>
      <c r="AM46" s="9"/>
      <c r="AN46" s="34"/>
      <c r="AO46" s="122"/>
    </row>
    <row r="47" spans="2:41" ht="15.75" thickBot="1" x14ac:dyDescent="0.3">
      <c r="B47" s="1" t="s">
        <v>89</v>
      </c>
      <c r="C47" s="67"/>
      <c r="D47" s="41"/>
      <c r="E47" s="41"/>
      <c r="F47" s="41"/>
      <c r="G47" s="41"/>
      <c r="H47" s="41"/>
      <c r="I47" s="41"/>
      <c r="J47" s="41"/>
      <c r="K47" s="42"/>
      <c r="L47" s="41"/>
      <c r="M47" s="41"/>
      <c r="N47" s="41"/>
      <c r="O47" s="41"/>
      <c r="P47" s="42"/>
      <c r="Q47" s="41"/>
      <c r="R47" s="41"/>
      <c r="S47" s="43"/>
      <c r="T47" s="35"/>
      <c r="U47" s="35"/>
      <c r="V47" s="35"/>
      <c r="W47" s="35"/>
      <c r="X47" s="36"/>
      <c r="Y47" s="35"/>
      <c r="Z47" s="35"/>
      <c r="AA47" s="35"/>
      <c r="AB47" s="65"/>
      <c r="AC47" s="118"/>
      <c r="AD47" s="35"/>
      <c r="AE47" s="65"/>
      <c r="AF47" s="41"/>
      <c r="AG47" s="41"/>
      <c r="AH47" s="42"/>
      <c r="AI47" s="65"/>
      <c r="AJ47" s="35"/>
      <c r="AK47" s="35"/>
      <c r="AL47" s="65"/>
      <c r="AM47" s="35"/>
      <c r="AN47" s="36"/>
      <c r="AO47" s="119"/>
    </row>
    <row r="48" spans="2:41" ht="15.75" thickBot="1" x14ac:dyDescent="0.3">
      <c r="B48" s="88" t="s">
        <v>72</v>
      </c>
      <c r="C48" s="68" t="s">
        <v>61</v>
      </c>
      <c r="D48" s="44" t="s">
        <v>73</v>
      </c>
      <c r="E48" s="44" t="s">
        <v>52</v>
      </c>
      <c r="F48" s="44">
        <v>1</v>
      </c>
      <c r="G48" s="44">
        <v>0</v>
      </c>
      <c r="H48" s="44">
        <v>0</v>
      </c>
      <c r="I48" s="44">
        <v>3</v>
      </c>
      <c r="J48" s="44">
        <v>1</v>
      </c>
      <c r="K48" s="44">
        <v>5</v>
      </c>
      <c r="L48" s="44">
        <v>5</v>
      </c>
      <c r="M48" s="44">
        <v>0</v>
      </c>
      <c r="N48" s="44">
        <v>5</v>
      </c>
      <c r="O48" s="44">
        <v>0</v>
      </c>
      <c r="P48" s="44">
        <v>0</v>
      </c>
      <c r="Q48" s="44"/>
      <c r="R48" s="44"/>
      <c r="S48" s="57">
        <v>0</v>
      </c>
      <c r="T48" s="39"/>
      <c r="U48" s="39"/>
      <c r="V48" s="39"/>
      <c r="W48" s="39"/>
      <c r="X48" s="58">
        <v>1</v>
      </c>
      <c r="Y48" s="39">
        <v>0</v>
      </c>
      <c r="Z48" s="39"/>
      <c r="AA48" s="39"/>
      <c r="AB48" s="45"/>
      <c r="AC48" s="69"/>
      <c r="AD48" s="39"/>
      <c r="AE48" s="45"/>
      <c r="AF48" s="44">
        <v>0</v>
      </c>
      <c r="AG48" s="44"/>
      <c r="AH48" s="57"/>
      <c r="AI48" s="45"/>
      <c r="AJ48" s="39"/>
      <c r="AK48" s="39"/>
      <c r="AL48" s="45"/>
      <c r="AM48" s="39"/>
      <c r="AN48" s="58"/>
      <c r="AO48" s="123"/>
    </row>
    <row r="49" spans="2:41" ht="15.75" thickBot="1" x14ac:dyDescent="0.3">
      <c r="B49" s="88" t="s">
        <v>74</v>
      </c>
      <c r="C49" s="69" t="s">
        <v>61</v>
      </c>
      <c r="D49" s="39" t="s">
        <v>84</v>
      </c>
      <c r="E49" s="39" t="s">
        <v>52</v>
      </c>
      <c r="F49" s="39">
        <v>1</v>
      </c>
      <c r="G49" s="39">
        <v>0</v>
      </c>
      <c r="H49" s="39">
        <v>0</v>
      </c>
      <c r="I49" s="39">
        <v>3</v>
      </c>
      <c r="J49" s="39">
        <v>2</v>
      </c>
      <c r="K49" s="39">
        <v>5</v>
      </c>
      <c r="L49" s="39">
        <v>5</v>
      </c>
      <c r="M49" s="39">
        <v>0</v>
      </c>
      <c r="N49" s="39">
        <v>5</v>
      </c>
      <c r="O49" s="39">
        <v>0</v>
      </c>
      <c r="P49" s="39">
        <v>0</v>
      </c>
      <c r="Q49" s="39"/>
      <c r="R49" s="39"/>
      <c r="S49" s="58">
        <v>1</v>
      </c>
      <c r="T49" s="39"/>
      <c r="U49" s="39"/>
      <c r="V49" s="39"/>
      <c r="W49" s="39"/>
      <c r="X49" s="58">
        <v>1</v>
      </c>
      <c r="Y49" s="39">
        <v>0</v>
      </c>
      <c r="Z49" s="39"/>
      <c r="AA49" s="39"/>
      <c r="AB49" s="45"/>
      <c r="AC49" s="69"/>
      <c r="AD49" s="39"/>
      <c r="AE49" s="45"/>
      <c r="AF49" s="39">
        <v>0</v>
      </c>
      <c r="AG49" s="39"/>
      <c r="AH49" s="58"/>
      <c r="AI49" s="45"/>
      <c r="AJ49" s="39"/>
      <c r="AK49" s="39"/>
      <c r="AL49" s="45"/>
      <c r="AM49" s="39"/>
      <c r="AN49" s="58"/>
      <c r="AO49" s="123"/>
    </row>
    <row r="50" spans="2:41" ht="15.75" thickBot="1" x14ac:dyDescent="0.3">
      <c r="B50" s="89" t="s">
        <v>75</v>
      </c>
      <c r="C50" s="69" t="s">
        <v>61</v>
      </c>
      <c r="D50" s="39" t="s">
        <v>85</v>
      </c>
      <c r="E50" s="39" t="s">
        <v>52</v>
      </c>
      <c r="F50" s="39">
        <v>1</v>
      </c>
      <c r="G50" s="39">
        <v>0</v>
      </c>
      <c r="H50" s="39">
        <v>0</v>
      </c>
      <c r="I50" s="39">
        <v>3</v>
      </c>
      <c r="J50" s="39">
        <v>3</v>
      </c>
      <c r="K50" s="39">
        <v>5</v>
      </c>
      <c r="L50" s="39">
        <v>5</v>
      </c>
      <c r="M50" s="39">
        <v>0</v>
      </c>
      <c r="N50" s="39">
        <v>5</v>
      </c>
      <c r="O50" s="39">
        <v>0</v>
      </c>
      <c r="P50" s="39">
        <v>0</v>
      </c>
      <c r="Q50" s="39"/>
      <c r="R50" s="39"/>
      <c r="S50" s="58">
        <v>1</v>
      </c>
      <c r="T50" s="39"/>
      <c r="U50" s="39"/>
      <c r="V50" s="39"/>
      <c r="W50" s="39"/>
      <c r="X50" s="58">
        <v>1</v>
      </c>
      <c r="Y50" s="39">
        <v>0</v>
      </c>
      <c r="Z50" s="39"/>
      <c r="AA50" s="39"/>
      <c r="AB50" s="45"/>
      <c r="AC50" s="69"/>
      <c r="AD50" s="39"/>
      <c r="AE50" s="45"/>
      <c r="AF50" s="39">
        <v>0</v>
      </c>
      <c r="AG50" s="39"/>
      <c r="AH50" s="58"/>
      <c r="AI50" s="45"/>
      <c r="AJ50" s="39"/>
      <c r="AK50" s="39"/>
      <c r="AL50" s="45"/>
      <c r="AM50" s="39"/>
      <c r="AN50" s="58"/>
      <c r="AO50" s="123"/>
    </row>
    <row r="51" spans="2:41" ht="15.75" thickBot="1" x14ac:dyDescent="0.3">
      <c r="B51" s="88" t="s">
        <v>76</v>
      </c>
      <c r="C51" s="69" t="s">
        <v>61</v>
      </c>
      <c r="D51" s="39" t="s">
        <v>82</v>
      </c>
      <c r="E51" s="39" t="s">
        <v>52</v>
      </c>
      <c r="F51" s="39">
        <v>1</v>
      </c>
      <c r="G51" s="39">
        <v>0</v>
      </c>
      <c r="H51" s="39">
        <v>0</v>
      </c>
      <c r="I51" s="39">
        <v>3</v>
      </c>
      <c r="J51" s="39">
        <v>4</v>
      </c>
      <c r="K51" s="39">
        <v>5</v>
      </c>
      <c r="L51" s="39">
        <v>5</v>
      </c>
      <c r="M51" s="39">
        <v>0</v>
      </c>
      <c r="N51" s="39">
        <v>5</v>
      </c>
      <c r="O51" s="39">
        <v>0</v>
      </c>
      <c r="P51" s="39">
        <v>0</v>
      </c>
      <c r="Q51" s="39"/>
      <c r="R51" s="39"/>
      <c r="S51" s="58">
        <v>1</v>
      </c>
      <c r="T51" s="39"/>
      <c r="U51" s="39"/>
      <c r="V51" s="39"/>
      <c r="W51" s="39"/>
      <c r="X51" s="58">
        <v>1</v>
      </c>
      <c r="Y51" s="39">
        <v>0</v>
      </c>
      <c r="Z51" s="39"/>
      <c r="AA51" s="39"/>
      <c r="AB51" s="45"/>
      <c r="AC51" s="69"/>
      <c r="AD51" s="39"/>
      <c r="AE51" s="45"/>
      <c r="AF51" s="39">
        <v>0</v>
      </c>
      <c r="AG51" s="39"/>
      <c r="AH51" s="58"/>
      <c r="AI51" s="45"/>
      <c r="AJ51" s="39"/>
      <c r="AK51" s="39"/>
      <c r="AL51" s="45"/>
      <c r="AM51" s="39"/>
      <c r="AN51" s="58"/>
      <c r="AO51" s="123"/>
    </row>
    <row r="52" spans="2:41" ht="15.75" thickBot="1" x14ac:dyDescent="0.3">
      <c r="B52" s="89" t="s">
        <v>77</v>
      </c>
      <c r="C52" s="69" t="s">
        <v>61</v>
      </c>
      <c r="D52" s="39" t="s">
        <v>83</v>
      </c>
      <c r="E52" s="39" t="s">
        <v>52</v>
      </c>
      <c r="F52" s="39">
        <v>1</v>
      </c>
      <c r="G52" s="39">
        <v>0</v>
      </c>
      <c r="H52" s="39">
        <v>0</v>
      </c>
      <c r="I52" s="39">
        <v>3</v>
      </c>
      <c r="J52" s="39">
        <v>5</v>
      </c>
      <c r="K52" s="39">
        <v>5</v>
      </c>
      <c r="L52" s="39">
        <v>5</v>
      </c>
      <c r="M52" s="39">
        <v>0</v>
      </c>
      <c r="N52" s="39">
        <v>5</v>
      </c>
      <c r="O52" s="39">
        <v>0</v>
      </c>
      <c r="P52" s="39">
        <v>0</v>
      </c>
      <c r="Q52" s="39"/>
      <c r="R52" s="39"/>
      <c r="S52" s="58">
        <v>1</v>
      </c>
      <c r="T52" s="39"/>
      <c r="U52" s="39"/>
      <c r="V52" s="39"/>
      <c r="W52" s="39"/>
      <c r="X52" s="58">
        <v>1</v>
      </c>
      <c r="Y52" s="39">
        <v>0</v>
      </c>
      <c r="Z52" s="39"/>
      <c r="AA52" s="39"/>
      <c r="AB52" s="45"/>
      <c r="AC52" s="69"/>
      <c r="AD52" s="39"/>
      <c r="AE52" s="45"/>
      <c r="AF52" s="39">
        <v>0</v>
      </c>
      <c r="AG52" s="39"/>
      <c r="AH52" s="58"/>
      <c r="AI52" s="45"/>
      <c r="AJ52" s="39"/>
      <c r="AK52" s="39"/>
      <c r="AL52" s="45"/>
      <c r="AM52" s="39"/>
      <c r="AN52" s="58"/>
      <c r="AO52" s="123"/>
    </row>
    <row r="53" spans="2:41" ht="15.75" thickBot="1" x14ac:dyDescent="0.3">
      <c r="B53" s="88" t="s">
        <v>78</v>
      </c>
      <c r="C53" s="69" t="s">
        <v>61</v>
      </c>
      <c r="D53" s="39" t="s">
        <v>86</v>
      </c>
      <c r="E53" s="39" t="s">
        <v>52</v>
      </c>
      <c r="F53" s="39">
        <v>1</v>
      </c>
      <c r="G53" s="39">
        <v>0</v>
      </c>
      <c r="H53" s="39">
        <v>0</v>
      </c>
      <c r="I53" s="39">
        <v>3</v>
      </c>
      <c r="J53" s="39">
        <v>6</v>
      </c>
      <c r="K53" s="39">
        <v>5</v>
      </c>
      <c r="L53" s="39">
        <v>5</v>
      </c>
      <c r="M53" s="39">
        <v>0</v>
      </c>
      <c r="N53" s="39">
        <v>5</v>
      </c>
      <c r="O53" s="39">
        <v>0</v>
      </c>
      <c r="P53" s="39">
        <v>0</v>
      </c>
      <c r="Q53" s="39"/>
      <c r="R53" s="39"/>
      <c r="S53" s="58">
        <v>0</v>
      </c>
      <c r="T53" s="39"/>
      <c r="U53" s="39"/>
      <c r="V53" s="39"/>
      <c r="W53" s="39"/>
      <c r="X53" s="58">
        <v>1</v>
      </c>
      <c r="Y53" s="39">
        <v>0</v>
      </c>
      <c r="Z53" s="39"/>
      <c r="AA53" s="39"/>
      <c r="AB53" s="45"/>
      <c r="AC53" s="69"/>
      <c r="AD53" s="39"/>
      <c r="AE53" s="45"/>
      <c r="AF53" s="39">
        <v>0</v>
      </c>
      <c r="AG53" s="39"/>
      <c r="AH53" s="58"/>
      <c r="AI53" s="45"/>
      <c r="AJ53" s="39"/>
      <c r="AK53" s="39"/>
      <c r="AL53" s="45"/>
      <c r="AM53" s="39"/>
      <c r="AN53" s="58"/>
      <c r="AO53" s="123"/>
    </row>
    <row r="54" spans="2:41" ht="15.75" thickBot="1" x14ac:dyDescent="0.3">
      <c r="B54" s="89" t="s">
        <v>79</v>
      </c>
      <c r="C54" s="69" t="s">
        <v>61</v>
      </c>
      <c r="D54" s="39" t="s">
        <v>87</v>
      </c>
      <c r="E54" s="39" t="s">
        <v>52</v>
      </c>
      <c r="F54" s="39">
        <v>1</v>
      </c>
      <c r="G54" s="39">
        <v>0</v>
      </c>
      <c r="H54" s="39">
        <v>0</v>
      </c>
      <c r="I54" s="39">
        <v>3</v>
      </c>
      <c r="J54" s="39">
        <v>7</v>
      </c>
      <c r="K54" s="39">
        <v>5</v>
      </c>
      <c r="L54" s="39">
        <v>5</v>
      </c>
      <c r="M54" s="39">
        <v>0</v>
      </c>
      <c r="N54" s="39">
        <v>5</v>
      </c>
      <c r="O54" s="39">
        <v>0</v>
      </c>
      <c r="P54" s="39">
        <v>0</v>
      </c>
      <c r="Q54" s="39"/>
      <c r="R54" s="39"/>
      <c r="S54" s="58">
        <v>0</v>
      </c>
      <c r="T54" s="39"/>
      <c r="U54" s="39"/>
      <c r="V54" s="39"/>
      <c r="W54" s="39"/>
      <c r="X54" s="58">
        <v>1</v>
      </c>
      <c r="Y54" s="39">
        <v>0</v>
      </c>
      <c r="Z54" s="39"/>
      <c r="AA54" s="39"/>
      <c r="AB54" s="45"/>
      <c r="AC54" s="69"/>
      <c r="AD54" s="39"/>
      <c r="AE54" s="45"/>
      <c r="AF54" s="39">
        <v>0</v>
      </c>
      <c r="AG54" s="39"/>
      <c r="AH54" s="58"/>
      <c r="AI54" s="45"/>
      <c r="AJ54" s="39"/>
      <c r="AK54" s="39"/>
      <c r="AL54" s="45"/>
      <c r="AM54" s="39"/>
      <c r="AN54" s="58"/>
      <c r="AO54" s="123"/>
    </row>
    <row r="55" spans="2:41" ht="15.75" thickBot="1" x14ac:dyDescent="0.3">
      <c r="B55" s="88" t="s">
        <v>80</v>
      </c>
      <c r="C55" s="69" t="s">
        <v>38</v>
      </c>
      <c r="D55" s="39" t="s">
        <v>81</v>
      </c>
      <c r="E55" s="39" t="s">
        <v>95</v>
      </c>
      <c r="F55" s="39">
        <v>1000</v>
      </c>
      <c r="G55" s="39">
        <v>0</v>
      </c>
      <c r="H55" s="39">
        <v>0</v>
      </c>
      <c r="I55" s="39">
        <v>3</v>
      </c>
      <c r="J55" s="39">
        <v>8</v>
      </c>
      <c r="K55" s="39">
        <v>5</v>
      </c>
      <c r="L55" s="39">
        <f>AX3</f>
        <v>5</v>
      </c>
      <c r="M55" s="39">
        <v>0</v>
      </c>
      <c r="N55" s="39">
        <v>100</v>
      </c>
      <c r="O55" s="39">
        <v>0</v>
      </c>
      <c r="P55" s="39">
        <v>1</v>
      </c>
      <c r="Q55" s="39">
        <v>2</v>
      </c>
      <c r="R55" s="39">
        <v>1</v>
      </c>
      <c r="S55" s="39">
        <v>0</v>
      </c>
      <c r="T55" s="39"/>
      <c r="U55" s="39"/>
      <c r="V55" s="39"/>
      <c r="W55" s="39"/>
      <c r="X55" s="39">
        <v>1</v>
      </c>
      <c r="Y55" s="39">
        <v>0</v>
      </c>
      <c r="Z55" s="39"/>
      <c r="AA55" s="39"/>
      <c r="AB55" s="45"/>
      <c r="AC55" s="69"/>
      <c r="AD55" s="39"/>
      <c r="AE55" s="45"/>
      <c r="AF55" s="39">
        <v>0</v>
      </c>
      <c r="AG55" s="39"/>
      <c r="AH55" s="58"/>
      <c r="AI55" s="45"/>
      <c r="AJ55" s="39"/>
      <c r="AK55" s="39"/>
      <c r="AL55" s="45"/>
      <c r="AM55" s="39"/>
      <c r="AN55" s="58"/>
      <c r="AO55" s="123"/>
    </row>
    <row r="56" spans="2:41" ht="15.75" thickBot="1" x14ac:dyDescent="0.3">
      <c r="B56" s="89" t="s">
        <v>97</v>
      </c>
      <c r="C56" s="69" t="s">
        <v>37</v>
      </c>
      <c r="D56" s="39" t="s">
        <v>98</v>
      </c>
      <c r="E56" s="39" t="s">
        <v>52</v>
      </c>
      <c r="F56" s="39">
        <v>1</v>
      </c>
      <c r="G56" s="39">
        <v>0</v>
      </c>
      <c r="H56" s="39">
        <v>0</v>
      </c>
      <c r="I56" s="39">
        <v>3</v>
      </c>
      <c r="J56" s="39">
        <v>9</v>
      </c>
      <c r="K56" s="39">
        <f>$AS$3</f>
        <v>5</v>
      </c>
      <c r="L56" s="39">
        <f>$AV$3</f>
        <v>5</v>
      </c>
      <c r="M56" s="39">
        <v>0</v>
      </c>
      <c r="N56" s="39">
        <v>5</v>
      </c>
      <c r="O56" s="39">
        <v>0</v>
      </c>
      <c r="P56" s="39">
        <v>0</v>
      </c>
      <c r="Q56" s="39"/>
      <c r="R56" s="39"/>
      <c r="S56" s="39">
        <v>0</v>
      </c>
      <c r="T56" s="39"/>
      <c r="U56" s="39"/>
      <c r="V56" s="39"/>
      <c r="W56" s="39"/>
      <c r="X56" s="39">
        <v>1</v>
      </c>
      <c r="Y56" s="39">
        <v>0</v>
      </c>
      <c r="Z56" s="39"/>
      <c r="AA56" s="39"/>
      <c r="AB56" s="45"/>
      <c r="AC56" s="69"/>
      <c r="AD56" s="39"/>
      <c r="AE56" s="45"/>
      <c r="AF56" s="39">
        <v>0</v>
      </c>
      <c r="AG56" s="39"/>
      <c r="AH56" s="58"/>
      <c r="AI56" s="45"/>
      <c r="AJ56" s="39"/>
      <c r="AK56" s="39"/>
      <c r="AL56" s="45"/>
      <c r="AM56" s="39"/>
      <c r="AN56" s="58"/>
      <c r="AO56" s="123"/>
    </row>
    <row r="57" spans="2:41" ht="15.75" thickBot="1" x14ac:dyDescent="0.3">
      <c r="B57" s="88" t="s">
        <v>99</v>
      </c>
      <c r="C57" s="70" t="s">
        <v>61</v>
      </c>
      <c r="D57" s="46" t="s">
        <v>100</v>
      </c>
      <c r="E57" s="46" t="s">
        <v>52</v>
      </c>
      <c r="F57" s="46">
        <v>1</v>
      </c>
      <c r="G57" s="46">
        <v>0</v>
      </c>
      <c r="H57" s="46">
        <v>0</v>
      </c>
      <c r="I57" s="46">
        <v>3</v>
      </c>
      <c r="J57" s="46">
        <v>11</v>
      </c>
      <c r="K57" s="46">
        <v>5</v>
      </c>
      <c r="L57" s="46">
        <v>5</v>
      </c>
      <c r="M57" s="46">
        <v>0</v>
      </c>
      <c r="N57" s="46">
        <v>5</v>
      </c>
      <c r="O57" s="46">
        <v>0</v>
      </c>
      <c r="P57" s="46">
        <v>0</v>
      </c>
      <c r="Q57" s="46"/>
      <c r="R57" s="46"/>
      <c r="S57" s="46">
        <v>0</v>
      </c>
      <c r="T57" s="46"/>
      <c r="U57" s="46"/>
      <c r="V57" s="46"/>
      <c r="W57" s="46"/>
      <c r="X57" s="46">
        <v>1</v>
      </c>
      <c r="Y57" s="46">
        <v>0</v>
      </c>
      <c r="Z57" s="46"/>
      <c r="AA57" s="46"/>
      <c r="AB57" s="47"/>
      <c r="AC57" s="70"/>
      <c r="AD57" s="46"/>
      <c r="AE57" s="47"/>
      <c r="AF57" s="46">
        <v>0</v>
      </c>
      <c r="AG57" s="46"/>
      <c r="AH57" s="124"/>
      <c r="AI57" s="47"/>
      <c r="AJ57" s="46"/>
      <c r="AK57" s="46"/>
      <c r="AL57" s="47"/>
      <c r="AM57" s="46"/>
      <c r="AN57" s="124"/>
      <c r="AO57" s="125"/>
    </row>
  </sheetData>
  <mergeCells count="21">
    <mergeCell ref="I4:J4"/>
    <mergeCell ref="K4:K5"/>
    <mergeCell ref="L4:L5"/>
    <mergeCell ref="C4:C5"/>
    <mergeCell ref="D4:D5"/>
    <mergeCell ref="E4:E5"/>
    <mergeCell ref="F4:G4"/>
    <mergeCell ref="H4:H5"/>
    <mergeCell ref="AR1:AT1"/>
    <mergeCell ref="AU1:AX1"/>
    <mergeCell ref="AQ1:AQ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</mergeCells>
  <conditionalFormatting sqref="H6:H5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8"/>
  <sheetViews>
    <sheetView workbookViewId="0">
      <selection activeCell="I97" sqref="I97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135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DIG_ADD_0</v>
      </c>
      <c r="C2" t="str">
        <f>IF(ISNA(Helper!J2),"",INDEX(Helper!$C$2:$C$105,Helper!J2))</f>
        <v>DIG_ADD_1</v>
      </c>
      <c r="D2" t="str">
        <f>IF(ISNA(Helper!K2),"",INDEX(Helper!$C$2:$C$105,Helper!K2))</f>
        <v>PS_ON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>DIG_ADD_2</v>
      </c>
      <c r="C3" t="str">
        <f>IF(ISNA(Helper!J3),"",INDEX(Helper!$C$2:$C$105,Helper!J3))</f>
        <v>DIG_ADD3</v>
      </c>
      <c r="D3" t="str">
        <f>IF(ISNA(Helper!K3),"",INDEX(Helper!$C$2:$C$105,Helper!K3))</f>
        <v>STATUS_CON_EN_n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I_LD</v>
      </c>
      <c r="C4" t="str">
        <f>IF(ISNA(Helper!J4),"",INDEX(Helper!$C$2:$C$105,Helper!J4))</f>
        <v>ADC_ADC_0</v>
      </c>
      <c r="D4" t="str">
        <f>IF(ISNA(Helper!K4),"",INDEX(Helper!$C$2:$C$105,Helper!K4))</f>
        <v>INTRLCK_CON_EN_n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ADC_ADC_1</v>
      </c>
      <c r="D5" t="str">
        <f>IF(ISNA(Helper!K5),"",INDEX(Helper!$C$2:$C$105,Helper!K5))</f>
        <v>ON2/IN11-OE_n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DAC_ADC_1_1</v>
      </c>
      <c r="C6" t="str">
        <f>IF(ISNA(Helper!J6),"",INDEX(Helper!$C$2:$C$105,Helper!J6))</f>
        <v>ADC_ADC_2</v>
      </c>
      <c r="D6" t="str">
        <f>IF(ISNA(Helper!K6),"",INDEX(Helper!$C$2:$C$105,Helper!K6))</f>
        <v>PULSE2/IN12-OE_n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ADC_ADC_3</v>
      </c>
      <c r="D7" t="str">
        <f>IF(ISNA(Helper!K7),"",INDEX(Helper!$C$2:$C$105,Helper!K7))</f>
        <v>ISO_EN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DAC_ADC_1_2</v>
      </c>
      <c r="C8" t="str">
        <f>IF(ISNA(Helper!J8),"",INDEX(Helper!$C$2:$C$105,Helper!J8))</f>
        <v>DAC_ADC_ADD_4_0</v>
      </c>
      <c r="D8" t="str">
        <f>IF(ISNA(Helper!K8),"",INDEX(Helper!$C$2:$C$105,Helper!K8))</f>
        <v>SW_CLK/BUSY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DAC_ADC_ADD_4_1</v>
      </c>
      <c r="D9" t="str">
        <f>IF(ISNA(Helper!K9),"",INDEX(Helper!$C$2:$C$105,Helper!K9))</f>
        <v>I_module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DAC_ADC_1_3</v>
      </c>
      <c r="C10" t="str">
        <f>IF(ISNA(Helper!J10),"",INDEX(Helper!$C$2:$C$105,Helper!J10))</f>
        <v>DAC_ADC_ADD_4_2</v>
      </c>
      <c r="D10" t="str">
        <f>IF(ISNA(Helper!K10),"",INDEX(Helper!$C$2:$C$105,Helper!K10))</f>
        <v>INTR_LCK_delay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DAC_ADC_ADD_4_3</v>
      </c>
      <c r="D11" t="str">
        <f>IF(ISNA(Helper!K11),"",INDEX(Helper!$C$2:$C$105,Helper!K11))</f>
        <v/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DAC_ADC_2_0</v>
      </c>
      <c r="C12" t="str">
        <f>IF(ISNA(Helper!J12),"",INDEX(Helper!$C$2:$C$105,Helper!J12))</f>
        <v>DIG_DG_0</v>
      </c>
      <c r="D12" t="str">
        <f>IF(ISNA(Helper!K12),"",INDEX(Helper!$C$2:$C$105,Helper!K12))</f>
        <v>ILD_SW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/>
      </c>
      <c r="C13" t="str">
        <f>IF(ISNA(Helper!J13),"",INDEX(Helper!$C$2:$C$105,Helper!J13))</f>
        <v>DIG_DG_1</v>
      </c>
      <c r="D13" t="str">
        <f>IF(ISNA(Helper!K13),"",INDEX(Helper!$C$2:$C$105,Helper!K13))</f>
        <v/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>DAC_ADC_2_1</v>
      </c>
      <c r="C14" t="str">
        <f>IF(ISNA(Helper!J14),"",INDEX(Helper!$C$2:$C$105,Helper!J14))</f>
        <v>DIG_DG_2</v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>DIG_DG_3</v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>DAC_ADC_2_2</v>
      </c>
      <c r="C16" t="str">
        <f>IF(ISNA(Helper!J16),"",INDEX(Helper!$C$2:$C$105,Helper!J16))</f>
        <v>DIG_ADD_4_0</v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>DIG_ADD_4_1</v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>DAC_ADC_2_3</v>
      </c>
      <c r="C18" t="str">
        <f>IF(ISNA(Helper!J18),"",INDEX(Helper!$C$2:$C$105,Helper!J18))</f>
        <v>DIG_ADD_4_2</v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>DIG_ADD_4_3</v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41" t="s">
        <v>136</v>
      </c>
      <c r="C32" s="142"/>
    </row>
    <row r="33" spans="2:3" x14ac:dyDescent="0.25">
      <c r="B33" s="90" t="s">
        <v>137</v>
      </c>
      <c r="C33" s="91" t="s">
        <v>138</v>
      </c>
    </row>
    <row r="34" spans="2:3" x14ac:dyDescent="0.25">
      <c r="B34" s="92" t="s">
        <v>139</v>
      </c>
      <c r="C34" s="91" t="s">
        <v>140</v>
      </c>
    </row>
    <row r="35" spans="2:3" x14ac:dyDescent="0.25">
      <c r="B35" s="93"/>
      <c r="C35" s="91" t="s">
        <v>61</v>
      </c>
    </row>
    <row r="36" spans="2:3" x14ac:dyDescent="0.25">
      <c r="B36" s="94"/>
      <c r="C36" s="91" t="s">
        <v>60</v>
      </c>
    </row>
    <row r="37" spans="2:3" x14ac:dyDescent="0.25">
      <c r="B37" s="95"/>
      <c r="C37" s="91" t="s">
        <v>37</v>
      </c>
    </row>
    <row r="38" spans="2:3" ht="15.75" thickBot="1" x14ac:dyDescent="0.3">
      <c r="B38" s="96"/>
      <c r="C38" s="97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6864EEB-0811-4C28-AD06-402A6F938A98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8EF23B5A-4077-4A05-8F4A-3C9BFCC32B64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444BBF36-EC63-46CE-AB78-48C3BE50DB36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360AB1F8-4B3E-4399-8438-0A801A040ED1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EDBFD6F8-3BE2-4156-9E5B-47A18645B991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AFF79730-11AD-4935-9FB5-DEEF2E8B61D5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5"/>
  <sheetViews>
    <sheetView topLeftCell="A118" workbookViewId="0">
      <selection activeCell="I97" sqref="I97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</row>
    <row r="2" spans="1:7" x14ac:dyDescent="0.25">
      <c r="A2">
        <f>[1]Sheet1!I6*30 + [1]Sheet1!J6</f>
        <v>68</v>
      </c>
      <c r="B2">
        <f>COUNTIFS(A:A,A2,A:A,"&gt;0")</f>
        <v>1</v>
      </c>
      <c r="C2">
        <f>IF(B2&gt;1,[1]Sheet1!I6,0)</f>
        <v>0</v>
      </c>
      <c r="D2">
        <f>IF(B2&gt;1,[1]Sheet1!J6,0)</f>
        <v>0</v>
      </c>
      <c r="E2" t="str">
        <f>IF(B2&gt;1,[1]Sheet1!D6,"")</f>
        <v/>
      </c>
      <c r="F2" t="str">
        <f>IF(B2&gt;1,[1]Sheet1!C6,"")</f>
        <v/>
      </c>
      <c r="G2" t="str">
        <f>IF(B2&gt;1,[1]Sheet1!B6,"")</f>
        <v/>
      </c>
    </row>
    <row r="3" spans="1:7" x14ac:dyDescent="0.25">
      <c r="A3">
        <f>[1]Sheet1!I7*30 + [1]Sheet1!J7</f>
        <v>70</v>
      </c>
      <c r="B3">
        <f t="shared" ref="B3:B66" si="0">COUNTIFS(A:A,A3,A:A,"&gt;0")</f>
        <v>1</v>
      </c>
      <c r="C3">
        <f>IF(B3&gt;1,[1]Sheet1!I7,0)</f>
        <v>0</v>
      </c>
      <c r="D3">
        <f>IF(B3&gt;1,[1]Sheet1!J7,0)</f>
        <v>0</v>
      </c>
      <c r="E3" t="str">
        <f>IF(B3&gt;1,[1]Sheet1!D7,"")</f>
        <v/>
      </c>
      <c r="F3" t="str">
        <f>IF(B3&gt;1,[1]Sheet1!C7,"")</f>
        <v/>
      </c>
      <c r="G3" t="str">
        <f>IF(B3&gt;1,[1]Sheet1!B7,"")</f>
        <v/>
      </c>
    </row>
    <row r="4" spans="1:7" x14ac:dyDescent="0.25">
      <c r="A4">
        <f>[1]Sheet1!I8*30 + [1]Sheet1!J8</f>
        <v>76</v>
      </c>
      <c r="B4">
        <f t="shared" si="0"/>
        <v>1</v>
      </c>
      <c r="C4">
        <f>IF(B4&gt;1,[1]Sheet1!I8,0)</f>
        <v>0</v>
      </c>
      <c r="D4">
        <f>IF(B4&gt;1,[1]Sheet1!J8,0)</f>
        <v>0</v>
      </c>
      <c r="E4" t="str">
        <f>IF(B4&gt;1,[1]Sheet1!D8,"")</f>
        <v/>
      </c>
      <c r="F4" t="str">
        <f>IF(B4&gt;1,[1]Sheet1!C8,"")</f>
        <v/>
      </c>
      <c r="G4" t="str">
        <f>IF(B4&gt;1,[1]Sheet1!B8,"")</f>
        <v/>
      </c>
    </row>
    <row r="5" spans="1:7" x14ac:dyDescent="0.25">
      <c r="A5">
        <f>[1]Sheet1!I9*30 + [1]Sheet1!J9</f>
        <v>78</v>
      </c>
      <c r="B5">
        <f t="shared" si="0"/>
        <v>1</v>
      </c>
      <c r="C5">
        <f>IF(B5&gt;1,[1]Sheet1!I9,0)</f>
        <v>0</v>
      </c>
      <c r="D5">
        <f>IF(B5&gt;1,[1]Sheet1!J9,0)</f>
        <v>0</v>
      </c>
      <c r="E5" t="str">
        <f>IF(B5&gt;1,[1]Sheet1!D9,"")</f>
        <v/>
      </c>
      <c r="F5" t="str">
        <f>IF(B5&gt;1,[1]Sheet1!C9,"")</f>
        <v/>
      </c>
      <c r="G5" t="str">
        <f>IF(B5&gt;1,[1]Sheet1!B9,"")</f>
        <v/>
      </c>
    </row>
    <row r="6" spans="1:7" x14ac:dyDescent="0.25">
      <c r="A6">
        <f>[1]Sheet1!I10*30 + [1]Sheet1!J10</f>
        <v>0</v>
      </c>
      <c r="B6">
        <f t="shared" si="0"/>
        <v>0</v>
      </c>
      <c r="C6">
        <f>IF(B6&gt;1,[1]Sheet1!I10,0)</f>
        <v>0</v>
      </c>
      <c r="D6">
        <f>IF(B6&gt;1,[1]Sheet1!J10,0)</f>
        <v>0</v>
      </c>
      <c r="E6" t="str">
        <f>IF(B6&gt;1,[1]Sheet1!D10,"")</f>
        <v/>
      </c>
      <c r="F6" t="str">
        <f>IF(B6&gt;1,[1]Sheet1!C10,"")</f>
        <v/>
      </c>
      <c r="G6" t="str">
        <f>IF(B6&gt;1,[1]Sheet1!B10,"")</f>
        <v/>
      </c>
    </row>
    <row r="7" spans="1:7" x14ac:dyDescent="0.25">
      <c r="A7">
        <f>[1]Sheet1!I11*30 + [1]Sheet1!J11</f>
        <v>31</v>
      </c>
      <c r="B7">
        <f t="shared" si="0"/>
        <v>5</v>
      </c>
      <c r="C7">
        <f>IF(B7&gt;1,[1]Sheet1!I11,0)</f>
        <v>1</v>
      </c>
      <c r="D7">
        <f>IF(B7&gt;1,[1]Sheet1!J11,0)</f>
        <v>1</v>
      </c>
      <c r="E7" t="str">
        <f>IF(B7&gt;1,[1]Sheet1!D11,"")</f>
        <v>DIG_ADD_0</v>
      </c>
      <c r="F7" t="str">
        <f>IF(B7&gt;1,[1]Sheet1!C11,"")</f>
        <v>DIG_IN</v>
      </c>
      <c r="G7" t="str">
        <f>IF(B7&gt;1,[1]Sheet1!B11,"")</f>
        <v>ADD3 0</v>
      </c>
    </row>
    <row r="8" spans="1:7" x14ac:dyDescent="0.25">
      <c r="A8">
        <f>[1]Sheet1!I12*30 + [1]Sheet1!J12</f>
        <v>32</v>
      </c>
      <c r="B8">
        <f t="shared" si="0"/>
        <v>1</v>
      </c>
      <c r="C8">
        <f>IF(B8&gt;1,[1]Sheet1!I12,0)</f>
        <v>0</v>
      </c>
      <c r="D8">
        <f>IF(B8&gt;1,[1]Sheet1!J12,0)</f>
        <v>0</v>
      </c>
      <c r="E8" t="str">
        <f>IF(B8&gt;1,[1]Sheet1!D12,"")</f>
        <v/>
      </c>
      <c r="F8" t="str">
        <f>IF(B8&gt;1,[1]Sheet1!C12,"")</f>
        <v/>
      </c>
      <c r="G8" t="str">
        <f>IF(B8&gt;1,[1]Sheet1!B12,"")</f>
        <v/>
      </c>
    </row>
    <row r="9" spans="1:7" x14ac:dyDescent="0.25">
      <c r="A9">
        <f>[1]Sheet1!I13*30 + [1]Sheet1!J13</f>
        <v>63</v>
      </c>
      <c r="B9">
        <f t="shared" si="0"/>
        <v>1</v>
      </c>
      <c r="C9">
        <f>IF(B9&gt;1,[1]Sheet1!I13,0)</f>
        <v>0</v>
      </c>
      <c r="D9">
        <f>IF(B9&gt;1,[1]Sheet1!J13,0)</f>
        <v>0</v>
      </c>
      <c r="E9" t="str">
        <f>IF(B9&gt;1,[1]Sheet1!D13,"")</f>
        <v/>
      </c>
      <c r="F9" t="str">
        <f>IF(B9&gt;1,[1]Sheet1!C13,"")</f>
        <v/>
      </c>
      <c r="G9" t="str">
        <f>IF(B9&gt;1,[1]Sheet1!B13,"")</f>
        <v/>
      </c>
    </row>
    <row r="10" spans="1:7" x14ac:dyDescent="0.25">
      <c r="A10">
        <f>[1]Sheet1!I14*30 + [1]Sheet1!J14</f>
        <v>65</v>
      </c>
      <c r="B10">
        <f t="shared" si="0"/>
        <v>1</v>
      </c>
      <c r="C10">
        <f>IF(B10&gt;1,[1]Sheet1!I14,0)</f>
        <v>0</v>
      </c>
      <c r="D10">
        <f>IF(B10&gt;1,[1]Sheet1!J14,0)</f>
        <v>0</v>
      </c>
      <c r="E10" t="str">
        <f>IF(B10&gt;1,[1]Sheet1!D14,"")</f>
        <v/>
      </c>
      <c r="F10" t="str">
        <f>IF(B10&gt;1,[1]Sheet1!C14,"")</f>
        <v/>
      </c>
      <c r="G10" t="str">
        <f>IF(B10&gt;1,[1]Sheet1!B14,"")</f>
        <v/>
      </c>
    </row>
    <row r="11" spans="1:7" x14ac:dyDescent="0.25">
      <c r="A11">
        <f>[1]Sheet1!I15*30 + [1]Sheet1!J15</f>
        <v>71</v>
      </c>
      <c r="B11">
        <f t="shared" si="0"/>
        <v>1</v>
      </c>
      <c r="C11">
        <f>IF(B11&gt;1,[1]Sheet1!I15,0)</f>
        <v>0</v>
      </c>
      <c r="D11">
        <f>IF(B11&gt;1,[1]Sheet1!J15,0)</f>
        <v>0</v>
      </c>
      <c r="E11" t="str">
        <f>IF(B11&gt;1,[1]Sheet1!D15,"")</f>
        <v/>
      </c>
      <c r="F11" t="str">
        <f>IF(B11&gt;1,[1]Sheet1!C15,"")</f>
        <v/>
      </c>
      <c r="G11" t="str">
        <f>IF(B11&gt;1,[1]Sheet1!B15,"")</f>
        <v/>
      </c>
    </row>
    <row r="12" spans="1:7" x14ac:dyDescent="0.25">
      <c r="A12">
        <f>[1]Sheet1!I16*30 + [1]Sheet1!J16</f>
        <v>31</v>
      </c>
      <c r="B12">
        <f t="shared" si="0"/>
        <v>5</v>
      </c>
      <c r="C12">
        <f>IF(B12&gt;1,[1]Sheet1!I16,0)</f>
        <v>1</v>
      </c>
      <c r="D12">
        <f>IF(B12&gt;1,[1]Sheet1!J16,0)</f>
        <v>1</v>
      </c>
      <c r="E12" t="str">
        <f>IF(B12&gt;1,[1]Sheet1!D16,"")</f>
        <v>ILDBM_set</v>
      </c>
      <c r="F12" t="str">
        <f>IF(B12&gt;1,[1]Sheet1!C16,"")</f>
        <v>ADC</v>
      </c>
      <c r="G12" t="str">
        <f>IF(B12&gt;1,[1]Sheet1!B16,"")</f>
        <v>ADC/P5</v>
      </c>
    </row>
    <row r="13" spans="1:7" x14ac:dyDescent="0.25">
      <c r="A13">
        <f>[1]Sheet1!I17*30 + [1]Sheet1!J17</f>
        <v>73</v>
      </c>
      <c r="B13">
        <f t="shared" si="0"/>
        <v>1</v>
      </c>
      <c r="C13">
        <f>IF(B13&gt;1,[1]Sheet1!I17,0)</f>
        <v>0</v>
      </c>
      <c r="D13">
        <f>IF(B13&gt;1,[1]Sheet1!J17,0)</f>
        <v>0</v>
      </c>
      <c r="E13" t="str">
        <f>IF(B13&gt;1,[1]Sheet1!D17,"")</f>
        <v/>
      </c>
      <c r="F13" t="str">
        <f>IF(B13&gt;1,[1]Sheet1!C17,"")</f>
        <v/>
      </c>
      <c r="G13" t="str">
        <f>IF(B13&gt;1,[1]Sheet1!B17,"")</f>
        <v/>
      </c>
    </row>
    <row r="14" spans="1:7" x14ac:dyDescent="0.25">
      <c r="A14">
        <f>[1]Sheet1!I18*30 + [1]Sheet1!J18</f>
        <v>0</v>
      </c>
      <c r="B14">
        <f t="shared" si="0"/>
        <v>0</v>
      </c>
      <c r="C14">
        <f>IF(B14&gt;1,[1]Sheet1!I18,0)</f>
        <v>0</v>
      </c>
      <c r="D14">
        <f>IF(B14&gt;1,[1]Sheet1!J18,0)</f>
        <v>0</v>
      </c>
      <c r="E14" t="str">
        <f>IF(B14&gt;1,[1]Sheet1!D18,"")</f>
        <v/>
      </c>
      <c r="F14" t="str">
        <f>IF(B14&gt;1,[1]Sheet1!C18,"")</f>
        <v/>
      </c>
      <c r="G14" t="str">
        <f>IF(B14&gt;1,[1]Sheet1!B18,"")</f>
        <v/>
      </c>
    </row>
    <row r="15" spans="1:7" x14ac:dyDescent="0.25">
      <c r="A15">
        <f>[1]Sheet1!I19*30 + [1]Sheet1!J19</f>
        <v>0</v>
      </c>
      <c r="B15">
        <f t="shared" si="0"/>
        <v>0</v>
      </c>
      <c r="C15">
        <f>IF(B15&gt;1,[1]Sheet1!I19,0)</f>
        <v>0</v>
      </c>
      <c r="D15">
        <f>IF(B15&gt;1,[1]Sheet1!J19,0)</f>
        <v>0</v>
      </c>
      <c r="E15" t="str">
        <f>IF(B15&gt;1,[1]Sheet1!D19,"")</f>
        <v/>
      </c>
      <c r="F15" t="str">
        <f>IF(B15&gt;1,[1]Sheet1!C19,"")</f>
        <v/>
      </c>
      <c r="G15" t="str">
        <f>IF(B15&gt;1,[1]Sheet1!B19,"")</f>
        <v/>
      </c>
    </row>
    <row r="16" spans="1:7" x14ac:dyDescent="0.25">
      <c r="A16">
        <f>[1]Sheet1!I20*30 + [1]Sheet1!J20</f>
        <v>33</v>
      </c>
      <c r="B16">
        <f t="shared" si="0"/>
        <v>1</v>
      </c>
      <c r="C16">
        <f>IF(B16&gt;1,[1]Sheet1!I20,0)</f>
        <v>0</v>
      </c>
      <c r="D16">
        <f>IF(B16&gt;1,[1]Sheet1!J20,0)</f>
        <v>0</v>
      </c>
      <c r="E16" t="str">
        <f>IF(B16&gt;1,[1]Sheet1!D20,"")</f>
        <v/>
      </c>
      <c r="F16" t="str">
        <f>IF(B16&gt;1,[1]Sheet1!C20,"")</f>
        <v/>
      </c>
      <c r="G16" t="str">
        <f>IF(B16&gt;1,[1]Sheet1!B20,"")</f>
        <v/>
      </c>
    </row>
    <row r="17" spans="1:7" x14ac:dyDescent="0.25">
      <c r="A17">
        <f>[1]Sheet1!I21*30 + [1]Sheet1!J21</f>
        <v>0</v>
      </c>
      <c r="B17">
        <f t="shared" si="0"/>
        <v>0</v>
      </c>
      <c r="C17">
        <f>IF(B17&gt;1,[1]Sheet1!I21,0)</f>
        <v>0</v>
      </c>
      <c r="D17">
        <f>IF(B17&gt;1,[1]Sheet1!J21,0)</f>
        <v>0</v>
      </c>
      <c r="E17" t="str">
        <f>IF(B17&gt;1,[1]Sheet1!D21,"")</f>
        <v/>
      </c>
      <c r="F17" t="str">
        <f>IF(B17&gt;1,[1]Sheet1!C21,"")</f>
        <v/>
      </c>
      <c r="G17" t="str">
        <f>IF(B17&gt;1,[1]Sheet1!B21,"")</f>
        <v/>
      </c>
    </row>
    <row r="18" spans="1:7" x14ac:dyDescent="0.25">
      <c r="A18">
        <f>[1]Sheet1!I22*30 + [1]Sheet1!J22</f>
        <v>37</v>
      </c>
      <c r="B18">
        <f t="shared" si="0"/>
        <v>1</v>
      </c>
      <c r="C18">
        <f>IF(B18&gt;1,[1]Sheet1!I22,0)</f>
        <v>0</v>
      </c>
      <c r="D18">
        <f>IF(B18&gt;1,[1]Sheet1!J22,0)</f>
        <v>0</v>
      </c>
      <c r="E18" t="str">
        <f>IF(B18&gt;1,[1]Sheet1!D22,"")</f>
        <v/>
      </c>
      <c r="F18" t="str">
        <f>IF(B18&gt;1,[1]Sheet1!C22,"")</f>
        <v/>
      </c>
      <c r="G18" t="str">
        <f>IF(B18&gt;1,[1]Sheet1!B22,"")</f>
        <v/>
      </c>
    </row>
    <row r="19" spans="1:7" x14ac:dyDescent="0.25">
      <c r="A19">
        <f>[1]Sheet1!I23*30 + [1]Sheet1!J23</f>
        <v>41</v>
      </c>
      <c r="B19">
        <f t="shared" si="0"/>
        <v>1</v>
      </c>
      <c r="C19">
        <f>IF(B19&gt;1,[1]Sheet1!I23,0)</f>
        <v>0</v>
      </c>
      <c r="D19">
        <f>IF(B19&gt;1,[1]Sheet1!J23,0)</f>
        <v>0</v>
      </c>
      <c r="E19" t="str">
        <f>IF(B19&gt;1,[1]Sheet1!D23,"")</f>
        <v/>
      </c>
      <c r="F19" t="str">
        <f>IF(B19&gt;1,[1]Sheet1!C23,"")</f>
        <v/>
      </c>
      <c r="G19" t="str">
        <f>IF(B19&gt;1,[1]Sheet1!B23,"")</f>
        <v/>
      </c>
    </row>
    <row r="20" spans="1:7" x14ac:dyDescent="0.25">
      <c r="A20">
        <f>[1]Sheet1!I24*30 + [1]Sheet1!J24</f>
        <v>0</v>
      </c>
      <c r="B20">
        <f t="shared" si="0"/>
        <v>0</v>
      </c>
      <c r="C20">
        <f>IF(B20&gt;1,[1]Sheet1!I24,0)</f>
        <v>0</v>
      </c>
      <c r="D20">
        <f>IF(B20&gt;1,[1]Sheet1!J24,0)</f>
        <v>0</v>
      </c>
      <c r="E20" t="str">
        <f>IF(B20&gt;1,[1]Sheet1!D24,"")</f>
        <v/>
      </c>
      <c r="F20" t="str">
        <f>IF(B20&gt;1,[1]Sheet1!C24,"")</f>
        <v/>
      </c>
      <c r="G20" t="str">
        <f>IF(B20&gt;1,[1]Sheet1!B24,"")</f>
        <v/>
      </c>
    </row>
    <row r="21" spans="1:7" x14ac:dyDescent="0.25">
      <c r="A21">
        <f>[1]Sheet1!I25*30 + [1]Sheet1!J25</f>
        <v>47</v>
      </c>
      <c r="B21">
        <f t="shared" si="0"/>
        <v>1</v>
      </c>
      <c r="C21">
        <f>IF(B21&gt;1,[1]Sheet1!I25,0)</f>
        <v>0</v>
      </c>
      <c r="D21">
        <f>IF(B21&gt;1,[1]Sheet1!J25,0)</f>
        <v>0</v>
      </c>
      <c r="E21" t="str">
        <f>IF(B21&gt;1,[1]Sheet1!D25,"")</f>
        <v/>
      </c>
      <c r="F21" t="str">
        <f>IF(B21&gt;1,[1]Sheet1!C25,"")</f>
        <v/>
      </c>
      <c r="G21" t="str">
        <f>IF(B21&gt;1,[1]Sheet1!B25,"")</f>
        <v/>
      </c>
    </row>
    <row r="22" spans="1:7" x14ac:dyDescent="0.25">
      <c r="A22">
        <f>[1]Sheet1!I26*30 + [1]Sheet1!J26</f>
        <v>0</v>
      </c>
      <c r="B22">
        <f t="shared" si="0"/>
        <v>0</v>
      </c>
      <c r="C22">
        <f>IF(B22&gt;1,[1]Sheet1!I26,0)</f>
        <v>0</v>
      </c>
      <c r="D22">
        <f>IF(B22&gt;1,[1]Sheet1!J26,0)</f>
        <v>0</v>
      </c>
      <c r="E22" t="str">
        <f>IF(B22&gt;1,[1]Sheet1!D26,"")</f>
        <v/>
      </c>
      <c r="F22" t="str">
        <f>IF(B22&gt;1,[1]Sheet1!C26,"")</f>
        <v/>
      </c>
      <c r="G22" t="str">
        <f>IF(B22&gt;1,[1]Sheet1!B26,"")</f>
        <v/>
      </c>
    </row>
    <row r="23" spans="1:7" x14ac:dyDescent="0.25">
      <c r="A23">
        <f>[1]Sheet1!I27*30 + [1]Sheet1!J27</f>
        <v>67</v>
      </c>
      <c r="B23">
        <f t="shared" si="0"/>
        <v>1</v>
      </c>
      <c r="C23">
        <f>IF(B23&gt;1,[1]Sheet1!I27,0)</f>
        <v>0</v>
      </c>
      <c r="D23">
        <f>IF(B23&gt;1,[1]Sheet1!J27,0)</f>
        <v>0</v>
      </c>
      <c r="E23" t="str">
        <f>IF(B23&gt;1,[1]Sheet1!D27,"")</f>
        <v/>
      </c>
      <c r="F23" t="str">
        <f>IF(B23&gt;1,[1]Sheet1!C27,"")</f>
        <v/>
      </c>
      <c r="G23" t="str">
        <f>IF(B23&gt;1,[1]Sheet1!B27,"")</f>
        <v/>
      </c>
    </row>
    <row r="24" spans="1:7" x14ac:dyDescent="0.25">
      <c r="A24">
        <f>[1]Sheet1!I28*30 + [1]Sheet1!J28</f>
        <v>69</v>
      </c>
      <c r="B24">
        <f t="shared" si="0"/>
        <v>1</v>
      </c>
      <c r="C24">
        <f>IF(B24&gt;1,[1]Sheet1!I28,0)</f>
        <v>0</v>
      </c>
      <c r="D24">
        <f>IF(B24&gt;1,[1]Sheet1!J28,0)</f>
        <v>0</v>
      </c>
      <c r="E24" t="str">
        <f>IF(B24&gt;1,[1]Sheet1!D28,"")</f>
        <v/>
      </c>
      <c r="F24" t="str">
        <f>IF(B24&gt;1,[1]Sheet1!C28,"")</f>
        <v/>
      </c>
      <c r="G24" t="str">
        <f>IF(B24&gt;1,[1]Sheet1!B28,"")</f>
        <v/>
      </c>
    </row>
    <row r="25" spans="1:7" x14ac:dyDescent="0.25">
      <c r="A25">
        <f>[1]Sheet1!I29*30 + [1]Sheet1!J29</f>
        <v>75</v>
      </c>
      <c r="B25">
        <f t="shared" si="0"/>
        <v>1</v>
      </c>
      <c r="C25">
        <f>IF(B25&gt;1,[1]Sheet1!I29,0)</f>
        <v>0</v>
      </c>
      <c r="D25">
        <f>IF(B25&gt;1,[1]Sheet1!J29,0)</f>
        <v>0</v>
      </c>
      <c r="E25" t="str">
        <f>IF(B25&gt;1,[1]Sheet1!D29,"")</f>
        <v/>
      </c>
      <c r="F25" t="str">
        <f>IF(B25&gt;1,[1]Sheet1!C29,"")</f>
        <v/>
      </c>
      <c r="G25" t="str">
        <f>IF(B25&gt;1,[1]Sheet1!B29,"")</f>
        <v/>
      </c>
    </row>
    <row r="26" spans="1:7" x14ac:dyDescent="0.25">
      <c r="A26">
        <f>[1]Sheet1!I30*30 + [1]Sheet1!J30</f>
        <v>77</v>
      </c>
      <c r="B26">
        <f t="shared" si="0"/>
        <v>1</v>
      </c>
      <c r="C26">
        <f>IF(B26&gt;1,[1]Sheet1!I30,0)</f>
        <v>0</v>
      </c>
      <c r="D26">
        <f>IF(B26&gt;1,[1]Sheet1!J30,0)</f>
        <v>0</v>
      </c>
      <c r="E26" t="str">
        <f>IF(B26&gt;1,[1]Sheet1!D30,"")</f>
        <v/>
      </c>
      <c r="F26" t="str">
        <f>IF(B26&gt;1,[1]Sheet1!C30,"")</f>
        <v/>
      </c>
      <c r="G26" t="str">
        <f>IF(B26&gt;1,[1]Sheet1!B30,"")</f>
        <v/>
      </c>
    </row>
    <row r="27" spans="1:7" x14ac:dyDescent="0.25">
      <c r="A27">
        <f>[1]Sheet1!I31*30 + [1]Sheet1!J31</f>
        <v>61</v>
      </c>
      <c r="B27">
        <f t="shared" si="0"/>
        <v>1</v>
      </c>
      <c r="C27">
        <f>IF(B27&gt;1,[1]Sheet1!I31,0)</f>
        <v>0</v>
      </c>
      <c r="D27">
        <f>IF(B27&gt;1,[1]Sheet1!J31,0)</f>
        <v>0</v>
      </c>
      <c r="E27" t="str">
        <f>IF(B27&gt;1,[1]Sheet1!D31,"")</f>
        <v/>
      </c>
      <c r="F27" t="str">
        <f>IF(B27&gt;1,[1]Sheet1!C31,"")</f>
        <v/>
      </c>
      <c r="G27" t="str">
        <f>IF(B27&gt;1,[1]Sheet1!B31,"")</f>
        <v/>
      </c>
    </row>
    <row r="28" spans="1:7" x14ac:dyDescent="0.25">
      <c r="A28">
        <f>[1]Sheet1!I32*30 + [1]Sheet1!J32</f>
        <v>0</v>
      </c>
      <c r="B28">
        <f t="shared" si="0"/>
        <v>0</v>
      </c>
      <c r="C28">
        <f>IF(B28&gt;1,[1]Sheet1!I32,0)</f>
        <v>0</v>
      </c>
      <c r="D28">
        <f>IF(B28&gt;1,[1]Sheet1!J32,0)</f>
        <v>0</v>
      </c>
      <c r="E28" t="str">
        <f>IF(B28&gt;1,[1]Sheet1!D32,"")</f>
        <v/>
      </c>
      <c r="F28" t="str">
        <f>IF(B28&gt;1,[1]Sheet1!C32,"")</f>
        <v/>
      </c>
      <c r="G28" t="str">
        <f>IF(B28&gt;1,[1]Sheet1!B32,"")</f>
        <v/>
      </c>
    </row>
    <row r="29" spans="1:7" x14ac:dyDescent="0.25">
      <c r="A29">
        <f>[1]Sheet1!I33*30 + [1]Sheet1!J33</f>
        <v>62</v>
      </c>
      <c r="B29">
        <f t="shared" si="0"/>
        <v>1</v>
      </c>
      <c r="C29">
        <f>IF(B29&gt;1,[1]Sheet1!I33,0)</f>
        <v>0</v>
      </c>
      <c r="D29">
        <f>IF(B29&gt;1,[1]Sheet1!J33,0)</f>
        <v>0</v>
      </c>
      <c r="E29" t="str">
        <f>IF(B29&gt;1,[1]Sheet1!D33,"")</f>
        <v/>
      </c>
      <c r="F29" t="str">
        <f>IF(B29&gt;1,[1]Sheet1!C33,"")</f>
        <v/>
      </c>
      <c r="G29" t="str">
        <f>IF(B29&gt;1,[1]Sheet1!B33,"")</f>
        <v/>
      </c>
    </row>
    <row r="30" spans="1:7" x14ac:dyDescent="0.25">
      <c r="A30">
        <f>[1]Sheet1!I34*30 + [1]Sheet1!J34</f>
        <v>64</v>
      </c>
      <c r="B30">
        <f t="shared" si="0"/>
        <v>1</v>
      </c>
      <c r="C30">
        <f>IF(B30&gt;1,[1]Sheet1!I34,0)</f>
        <v>0</v>
      </c>
      <c r="D30">
        <f>IF(B30&gt;1,[1]Sheet1!J34,0)</f>
        <v>0</v>
      </c>
      <c r="E30" t="str">
        <f>IF(B30&gt;1,[1]Sheet1!D34,"")</f>
        <v/>
      </c>
      <c r="F30" t="str">
        <f>IF(B30&gt;1,[1]Sheet1!C34,"")</f>
        <v/>
      </c>
      <c r="G30" t="str">
        <f>IF(B30&gt;1,[1]Sheet1!B34,"")</f>
        <v/>
      </c>
    </row>
    <row r="31" spans="1:7" x14ac:dyDescent="0.25">
      <c r="A31">
        <f>[1]Sheet1!I35*30 + [1]Sheet1!J35</f>
        <v>66</v>
      </c>
      <c r="B31">
        <f t="shared" si="0"/>
        <v>1</v>
      </c>
      <c r="C31">
        <f>IF(B31&gt;1,[1]Sheet1!I35,0)</f>
        <v>0</v>
      </c>
      <c r="D31">
        <f>IF(B31&gt;1,[1]Sheet1!J35,0)</f>
        <v>0</v>
      </c>
      <c r="E31" t="str">
        <f>IF(B31&gt;1,[1]Sheet1!D35,"")</f>
        <v/>
      </c>
      <c r="F31" t="str">
        <f>IF(B31&gt;1,[1]Sheet1!C35,"")</f>
        <v/>
      </c>
      <c r="G31" t="str">
        <f>IF(B31&gt;1,[1]Sheet1!B35,"")</f>
        <v/>
      </c>
    </row>
    <row r="32" spans="1:7" x14ac:dyDescent="0.25">
      <c r="A32">
        <f>[1]Sheet1!I36*30 + [1]Sheet1!J36</f>
        <v>31</v>
      </c>
      <c r="B32">
        <f t="shared" si="0"/>
        <v>5</v>
      </c>
      <c r="C32">
        <f>IF(B32&gt;1,[1]Sheet1!I36,0)</f>
        <v>1</v>
      </c>
      <c r="D32">
        <f>IF(B32&gt;1,[1]Sheet1!J36,0)</f>
        <v>1</v>
      </c>
      <c r="E32" t="str">
        <f>IF(B32&gt;1,[1]Sheet1!D36,"")</f>
        <v>ILDM</v>
      </c>
      <c r="F32" t="str">
        <f>IF(B32&gt;1,[1]Sheet1!C36,"")</f>
        <v>ADC</v>
      </c>
      <c r="G32" t="str">
        <f>IF(B32&gt;1,[1]Sheet1!B36,"")</f>
        <v>ADC/P4</v>
      </c>
    </row>
    <row r="33" spans="1:7" x14ac:dyDescent="0.25">
      <c r="A33">
        <f>[1]Sheet1!I37*30 + [1]Sheet1!J37</f>
        <v>31</v>
      </c>
      <c r="B33">
        <f t="shared" si="0"/>
        <v>5</v>
      </c>
      <c r="C33">
        <f>IF(B33&gt;1,[1]Sheet1!I37,0)</f>
        <v>1</v>
      </c>
      <c r="D33">
        <f>IF(B33&gt;1,[1]Sheet1!J37,0)</f>
        <v>1</v>
      </c>
      <c r="E33" t="str">
        <f>IF(B33&gt;1,[1]Sheet1!D37,"")</f>
        <v>GND</v>
      </c>
      <c r="F33" t="str">
        <f>IF(B33&gt;1,[1]Sheet1!C37,"")</f>
        <v>ADC</v>
      </c>
      <c r="G33" t="str">
        <f>IF(B33&gt;1,[1]Sheet1!B37,"")</f>
        <v>ADC/P6</v>
      </c>
    </row>
    <row r="34" spans="1:7" x14ac:dyDescent="0.25">
      <c r="A34">
        <f>[1]Sheet1!I38*30 + [1]Sheet1!J38</f>
        <v>72</v>
      </c>
      <c r="B34">
        <f t="shared" si="0"/>
        <v>1</v>
      </c>
      <c r="C34">
        <f>IF(B34&gt;1,[1]Sheet1!I38,0)</f>
        <v>0</v>
      </c>
      <c r="D34">
        <f>IF(B34&gt;1,[1]Sheet1!J38,0)</f>
        <v>0</v>
      </c>
      <c r="E34" t="str">
        <f>IF(B34&gt;1,[1]Sheet1!D38,"")</f>
        <v/>
      </c>
      <c r="F34" t="str">
        <f>IF(B34&gt;1,[1]Sheet1!C38,"")</f>
        <v/>
      </c>
      <c r="G34" t="str">
        <f>IF(B34&gt;1,[1]Sheet1!B38,"")</f>
        <v/>
      </c>
    </row>
    <row r="35" spans="1:7" x14ac:dyDescent="0.25">
      <c r="A35">
        <f>[1]Sheet1!I39*30 + [1]Sheet1!J39</f>
        <v>74</v>
      </c>
      <c r="B35">
        <f t="shared" si="0"/>
        <v>1</v>
      </c>
      <c r="C35">
        <f>IF(B35&gt;1,[1]Sheet1!I39,0)</f>
        <v>0</v>
      </c>
      <c r="D35">
        <f>IF(B35&gt;1,[1]Sheet1!J39,0)</f>
        <v>0</v>
      </c>
      <c r="E35" t="str">
        <f>IF(B35&gt;1,[1]Sheet1!D39,"")</f>
        <v/>
      </c>
      <c r="F35" t="str">
        <f>IF(B35&gt;1,[1]Sheet1!C39,"")</f>
        <v/>
      </c>
      <c r="G35" t="str">
        <f>IF(B35&gt;1,[1]Sheet1!B39,"")</f>
        <v/>
      </c>
    </row>
    <row r="36" spans="1:7" x14ac:dyDescent="0.25">
      <c r="A36">
        <f>[1]Sheet1!I40*30 + [1]Sheet1!J40</f>
        <v>31</v>
      </c>
      <c r="B36">
        <f t="shared" si="0"/>
        <v>5</v>
      </c>
      <c r="C36">
        <f>IF(B36&gt;1,[1]Sheet1!I40,0)</f>
        <v>1</v>
      </c>
      <c r="D36">
        <f>IF(B36&gt;1,[1]Sheet1!J40,0)</f>
        <v>1</v>
      </c>
      <c r="E36" t="str">
        <f>IF(B36&gt;1,[1]Sheet1!D40,"")</f>
        <v>PULSE1</v>
      </c>
      <c r="F36" t="str">
        <f>IF(B36&gt;1,[1]Sheet1!C40,"")</f>
        <v>DIG_IN</v>
      </c>
      <c r="G36" t="str">
        <f>IF(B36&gt;1,[1]Sheet1!B40,"")</f>
        <v>PULSE2/DG4</v>
      </c>
    </row>
    <row r="37" spans="1:7" x14ac:dyDescent="0.25">
      <c r="A37">
        <f>[1]Sheet1!I41*30 + [1]Sheet1!J41</f>
        <v>35</v>
      </c>
      <c r="B37">
        <f t="shared" si="0"/>
        <v>1</v>
      </c>
      <c r="C37">
        <f>IF(B37&gt;1,[1]Sheet1!I41,0)</f>
        <v>0</v>
      </c>
      <c r="D37">
        <f>IF(B37&gt;1,[1]Sheet1!J41,0)</f>
        <v>0</v>
      </c>
      <c r="E37" t="str">
        <f>IF(B37&gt;1,[1]Sheet1!D41,"")</f>
        <v/>
      </c>
      <c r="F37" t="str">
        <f>IF(B37&gt;1,[1]Sheet1!C41,"")</f>
        <v/>
      </c>
      <c r="G37" t="str">
        <f>IF(B37&gt;1,[1]Sheet1!B41,"")</f>
        <v/>
      </c>
    </row>
    <row r="38" spans="1:7" x14ac:dyDescent="0.25">
      <c r="A38">
        <f>[1]Sheet1!I42*30 + [1]Sheet1!J42</f>
        <v>0</v>
      </c>
      <c r="B38">
        <f t="shared" si="0"/>
        <v>0</v>
      </c>
      <c r="C38">
        <f>IF(B38&gt;1,[1]Sheet1!I42,0)</f>
        <v>0</v>
      </c>
      <c r="D38">
        <f>IF(B38&gt;1,[1]Sheet1!J42,0)</f>
        <v>0</v>
      </c>
      <c r="E38" t="str">
        <f>IF(B38&gt;1,[1]Sheet1!D42,"")</f>
        <v/>
      </c>
      <c r="F38" t="str">
        <f>IF(B38&gt;1,[1]Sheet1!C42,"")</f>
        <v/>
      </c>
      <c r="G38" t="str">
        <f>IF(B38&gt;1,[1]Sheet1!B42,"")</f>
        <v/>
      </c>
    </row>
    <row r="39" spans="1:7" x14ac:dyDescent="0.25">
      <c r="A39">
        <f>[1]Sheet1!I43*30 + [1]Sheet1!J43</f>
        <v>0</v>
      </c>
      <c r="B39">
        <f t="shared" si="0"/>
        <v>0</v>
      </c>
      <c r="C39">
        <f>IF(B39&gt;1,[1]Sheet1!I43,0)</f>
        <v>0</v>
      </c>
      <c r="D39">
        <f>IF(B39&gt;1,[1]Sheet1!J43,0)</f>
        <v>0</v>
      </c>
      <c r="E39" t="str">
        <f>IF(B39&gt;1,[1]Sheet1!D43,"")</f>
        <v/>
      </c>
      <c r="F39" t="str">
        <f>IF(B39&gt;1,[1]Sheet1!C43,"")</f>
        <v/>
      </c>
      <c r="G39" t="str">
        <f>IF(B39&gt;1,[1]Sheet1!B43,"")</f>
        <v/>
      </c>
    </row>
    <row r="40" spans="1:7" x14ac:dyDescent="0.25">
      <c r="A40">
        <f>[1]Sheet1!I44*30 + [1]Sheet1!J44</f>
        <v>39</v>
      </c>
      <c r="B40">
        <f t="shared" si="0"/>
        <v>1</v>
      </c>
      <c r="C40">
        <f>IF(B40&gt;1,[1]Sheet1!I44,0)</f>
        <v>0</v>
      </c>
      <c r="D40">
        <f>IF(B40&gt;1,[1]Sheet1!J44,0)</f>
        <v>0</v>
      </c>
      <c r="E40" t="str">
        <f>IF(B40&gt;1,[1]Sheet1!D44,"")</f>
        <v/>
      </c>
      <c r="F40" t="str">
        <f>IF(B40&gt;1,[1]Sheet1!C44,"")</f>
        <v/>
      </c>
      <c r="G40" t="str">
        <f>IF(B40&gt;1,[1]Sheet1!B44,"")</f>
        <v/>
      </c>
    </row>
    <row r="41" spans="1:7" x14ac:dyDescent="0.25">
      <c r="A41">
        <f>[1]Sheet1!I45*30 + [1]Sheet1!J45</f>
        <v>43</v>
      </c>
      <c r="B41">
        <f t="shared" si="0"/>
        <v>1</v>
      </c>
      <c r="C41">
        <f>IF(B41&gt;1,[1]Sheet1!I45,0)</f>
        <v>0</v>
      </c>
      <c r="D41">
        <f>IF(B41&gt;1,[1]Sheet1!J45,0)</f>
        <v>0</v>
      </c>
      <c r="E41" t="str">
        <f>IF(B41&gt;1,[1]Sheet1!D45,"")</f>
        <v/>
      </c>
      <c r="F41" t="str">
        <f>IF(B41&gt;1,[1]Sheet1!C45,"")</f>
        <v/>
      </c>
      <c r="G41" t="str">
        <f>IF(B41&gt;1,[1]Sheet1!B45,"")</f>
        <v/>
      </c>
    </row>
    <row r="42" spans="1:7" x14ac:dyDescent="0.25">
      <c r="A42">
        <f>[1]Sheet1!I46*30 + [1]Sheet1!J46</f>
        <v>45</v>
      </c>
      <c r="B42">
        <f t="shared" si="0"/>
        <v>1</v>
      </c>
      <c r="C42">
        <f>IF(B42&gt;1,[1]Sheet1!I46,0)</f>
        <v>0</v>
      </c>
      <c r="D42">
        <f>IF(B42&gt;1,[1]Sheet1!J46,0)</f>
        <v>0</v>
      </c>
      <c r="E42" t="str">
        <f>IF(B42&gt;1,[1]Sheet1!D46,"")</f>
        <v/>
      </c>
      <c r="F42" t="str">
        <f>IF(B42&gt;1,[1]Sheet1!C46,"")</f>
        <v/>
      </c>
      <c r="G42" t="str">
        <f>IF(B42&gt;1,[1]Sheet1!B46,"")</f>
        <v/>
      </c>
    </row>
    <row r="43" spans="1:7" x14ac:dyDescent="0.25">
      <c r="A43">
        <f>[1]Sheet1!I47*30 + [1]Sheet1!J47</f>
        <v>0</v>
      </c>
      <c r="B43">
        <f t="shared" si="0"/>
        <v>0</v>
      </c>
      <c r="C43">
        <f>IF(B43&gt;1,[1]Sheet1!I47,0)</f>
        <v>0</v>
      </c>
      <c r="D43">
        <f>IF(B43&gt;1,[1]Sheet1!J47,0)</f>
        <v>0</v>
      </c>
      <c r="E43" t="str">
        <f>IF(B43&gt;1,[1]Sheet1!D47,"")</f>
        <v/>
      </c>
      <c r="F43" t="str">
        <f>IF(B43&gt;1,[1]Sheet1!C47,"")</f>
        <v/>
      </c>
      <c r="G43" t="str">
        <f>IF(B43&gt;1,[1]Sheet1!B47,"")</f>
        <v/>
      </c>
    </row>
    <row r="44" spans="1:7" x14ac:dyDescent="0.25">
      <c r="A44">
        <f>[1]Sheet1!I48*30 + [1]Sheet1!J48</f>
        <v>91</v>
      </c>
      <c r="B44">
        <f t="shared" si="0"/>
        <v>1</v>
      </c>
      <c r="C44">
        <f>IF(B44&gt;1,[1]Sheet1!I48,0)</f>
        <v>0</v>
      </c>
      <c r="D44">
        <f>IF(B44&gt;1,[1]Sheet1!J48,0)</f>
        <v>0</v>
      </c>
      <c r="E44" t="str">
        <f>IF(B44&gt;1,[1]Sheet1!D48,"")</f>
        <v/>
      </c>
      <c r="F44" t="str">
        <f>IF(B44&gt;1,[1]Sheet1!C48,"")</f>
        <v/>
      </c>
      <c r="G44" t="str">
        <f>IF(B44&gt;1,[1]Sheet1!B48,"")</f>
        <v/>
      </c>
    </row>
    <row r="45" spans="1:7" x14ac:dyDescent="0.25">
      <c r="A45">
        <f>[1]Sheet1!I49*30 + [1]Sheet1!J49</f>
        <v>92</v>
      </c>
      <c r="B45">
        <f t="shared" si="0"/>
        <v>1</v>
      </c>
      <c r="C45">
        <f>IF(B45&gt;1,[1]Sheet1!I49,0)</f>
        <v>0</v>
      </c>
      <c r="D45">
        <f>IF(B45&gt;1,[1]Sheet1!J49,0)</f>
        <v>0</v>
      </c>
      <c r="E45" t="str">
        <f>IF(B45&gt;1,[1]Sheet1!D49,"")</f>
        <v/>
      </c>
      <c r="F45" t="str">
        <f>IF(B45&gt;1,[1]Sheet1!C49,"")</f>
        <v/>
      </c>
      <c r="G45" t="str">
        <f>IF(B45&gt;1,[1]Sheet1!B49,"")</f>
        <v/>
      </c>
    </row>
    <row r="46" spans="1:7" x14ac:dyDescent="0.25">
      <c r="A46">
        <f>[1]Sheet1!I50*30 + [1]Sheet1!J50</f>
        <v>93</v>
      </c>
      <c r="B46">
        <f t="shared" si="0"/>
        <v>1</v>
      </c>
      <c r="C46">
        <f>IF(B46&gt;1,[1]Sheet1!I50,0)</f>
        <v>0</v>
      </c>
      <c r="D46">
        <f>IF(B46&gt;1,[1]Sheet1!J50,0)</f>
        <v>0</v>
      </c>
      <c r="E46" t="str">
        <f>IF(B46&gt;1,[1]Sheet1!D50,"")</f>
        <v/>
      </c>
      <c r="F46" t="str">
        <f>IF(B46&gt;1,[1]Sheet1!C50,"")</f>
        <v/>
      </c>
      <c r="G46" t="str">
        <f>IF(B46&gt;1,[1]Sheet1!B50,"")</f>
        <v/>
      </c>
    </row>
    <row r="47" spans="1:7" x14ac:dyDescent="0.25">
      <c r="A47">
        <f>[1]Sheet1!I51*30 + [1]Sheet1!J51</f>
        <v>94</v>
      </c>
      <c r="B47">
        <f t="shared" si="0"/>
        <v>1</v>
      </c>
      <c r="C47">
        <f>IF(B47&gt;1,[1]Sheet1!I51,0)</f>
        <v>0</v>
      </c>
      <c r="D47">
        <f>IF(B47&gt;1,[1]Sheet1!J51,0)</f>
        <v>0</v>
      </c>
      <c r="E47" t="str">
        <f>IF(B47&gt;1,[1]Sheet1!D51,"")</f>
        <v/>
      </c>
      <c r="F47" t="str">
        <f>IF(B47&gt;1,[1]Sheet1!C51,"")</f>
        <v/>
      </c>
      <c r="G47" t="str">
        <f>IF(B47&gt;1,[1]Sheet1!B51,"")</f>
        <v/>
      </c>
    </row>
    <row r="48" spans="1:7" x14ac:dyDescent="0.25">
      <c r="A48">
        <f>[1]Sheet1!I52*30 + [1]Sheet1!J52</f>
        <v>95</v>
      </c>
      <c r="B48">
        <f t="shared" si="0"/>
        <v>1</v>
      </c>
      <c r="C48">
        <f>IF(B48&gt;1,[1]Sheet1!I52,0)</f>
        <v>0</v>
      </c>
      <c r="D48">
        <f>IF(B48&gt;1,[1]Sheet1!J52,0)</f>
        <v>0</v>
      </c>
      <c r="E48" t="str">
        <f>IF(B48&gt;1,[1]Sheet1!D52,"")</f>
        <v/>
      </c>
      <c r="F48" t="str">
        <f>IF(B48&gt;1,[1]Sheet1!C52,"")</f>
        <v/>
      </c>
      <c r="G48" t="str">
        <f>IF(B48&gt;1,[1]Sheet1!B52,"")</f>
        <v/>
      </c>
    </row>
    <row r="49" spans="1:7" x14ac:dyDescent="0.25">
      <c r="A49">
        <f>[1]Sheet1!I53*30 + [1]Sheet1!J53</f>
        <v>96</v>
      </c>
      <c r="B49">
        <f t="shared" si="0"/>
        <v>1</v>
      </c>
      <c r="C49">
        <f>IF(B49&gt;1,[1]Sheet1!I53,0)</f>
        <v>0</v>
      </c>
      <c r="D49">
        <f>IF(B49&gt;1,[1]Sheet1!J53,0)</f>
        <v>0</v>
      </c>
      <c r="E49" t="str">
        <f>IF(B49&gt;1,[1]Sheet1!D53,"")</f>
        <v/>
      </c>
      <c r="F49" t="str">
        <f>IF(B49&gt;1,[1]Sheet1!C53,"")</f>
        <v/>
      </c>
      <c r="G49" t="str">
        <f>IF(B49&gt;1,[1]Sheet1!B53,"")</f>
        <v/>
      </c>
    </row>
    <row r="50" spans="1:7" x14ac:dyDescent="0.25">
      <c r="A50">
        <f>[1]Sheet1!I54*30 + [1]Sheet1!J54</f>
        <v>97</v>
      </c>
      <c r="B50">
        <f t="shared" si="0"/>
        <v>1</v>
      </c>
      <c r="C50">
        <f>IF(B50&gt;1,[1]Sheet1!I54,0)</f>
        <v>0</v>
      </c>
      <c r="D50">
        <f>IF(B50&gt;1,[1]Sheet1!J54,0)</f>
        <v>0</v>
      </c>
      <c r="E50" t="str">
        <f>IF(B50&gt;1,[1]Sheet1!D54,"")</f>
        <v/>
      </c>
      <c r="F50" t="str">
        <f>IF(B50&gt;1,[1]Sheet1!C54,"")</f>
        <v/>
      </c>
      <c r="G50" t="str">
        <f>IF(B50&gt;1,[1]Sheet1!B54,"")</f>
        <v/>
      </c>
    </row>
    <row r="51" spans="1:7" x14ac:dyDescent="0.25">
      <c r="A51">
        <f>[1]Sheet1!I55*30 + [1]Sheet1!J55</f>
        <v>98</v>
      </c>
      <c r="B51">
        <f t="shared" si="0"/>
        <v>1</v>
      </c>
      <c r="C51">
        <f>IF(B51&gt;1,[1]Sheet1!I55,0)</f>
        <v>0</v>
      </c>
      <c r="D51">
        <f>IF(B51&gt;1,[1]Sheet1!J55,0)</f>
        <v>0</v>
      </c>
      <c r="E51" t="str">
        <f>IF(B51&gt;1,[1]Sheet1!D55,"")</f>
        <v/>
      </c>
      <c r="F51" t="str">
        <f>IF(B51&gt;1,[1]Sheet1!C55,"")</f>
        <v/>
      </c>
      <c r="G51" t="str">
        <f>IF(B51&gt;1,[1]Sheet1!B55,"")</f>
        <v/>
      </c>
    </row>
    <row r="52" spans="1:7" x14ac:dyDescent="0.25">
      <c r="A52">
        <f>[1]Sheet1!I56*30 + [1]Sheet1!J56</f>
        <v>99</v>
      </c>
      <c r="B52">
        <f t="shared" si="0"/>
        <v>1</v>
      </c>
      <c r="C52">
        <f>IF(B52&gt;1,[1]Sheet1!I56,0)</f>
        <v>0</v>
      </c>
      <c r="D52">
        <f>IF(B52&gt;1,[1]Sheet1!J56,0)</f>
        <v>0</v>
      </c>
      <c r="E52" t="str">
        <f>IF(B52&gt;1,[1]Sheet1!D56,"")</f>
        <v/>
      </c>
      <c r="F52" t="str">
        <f>IF(B52&gt;1,[1]Sheet1!C56,"")</f>
        <v/>
      </c>
      <c r="G52" t="str">
        <f>IF(B52&gt;1,[1]Sheet1!B56,"")</f>
        <v/>
      </c>
    </row>
    <row r="53" spans="1:7" x14ac:dyDescent="0.25">
      <c r="A53">
        <f>[1]Sheet1!I57*30 + [1]Sheet1!J57</f>
        <v>101</v>
      </c>
      <c r="B53">
        <f t="shared" si="0"/>
        <v>1</v>
      </c>
      <c r="C53">
        <f>IF(B53&gt;1,[1]Sheet1!I57,0)</f>
        <v>0</v>
      </c>
      <c r="D53">
        <f>IF(B53&gt;1,[1]Sheet1!J57,0)</f>
        <v>0</v>
      </c>
      <c r="E53" t="str">
        <f>IF(B53&gt;1,[1]Sheet1!D57,"")</f>
        <v/>
      </c>
      <c r="F53" t="str">
        <f>IF(B53&gt;1,[1]Sheet1!C57,"")</f>
        <v/>
      </c>
      <c r="G53" t="str">
        <f>IF(B53&gt;1,[1]Sheet1!B57,"")</f>
        <v/>
      </c>
    </row>
    <row r="54" spans="1:7" x14ac:dyDescent="0.25">
      <c r="A54">
        <f>[1]Sheet1!AG6*30 + [1]Sheet1!AH6</f>
        <v>0</v>
      </c>
      <c r="B54">
        <f t="shared" si="0"/>
        <v>0</v>
      </c>
      <c r="C54">
        <f>IF(B54&gt;1,[1]Sheet1!AG6,0)</f>
        <v>0</v>
      </c>
      <c r="D54">
        <f>IF(B54&gt;1,[1]Sheet1!AH6,0)</f>
        <v>0</v>
      </c>
      <c r="E54" t="str">
        <f>IF(B54&gt;1,[1]Sheet1!AI6,"")</f>
        <v/>
      </c>
      <c r="F54" t="str">
        <f>IF(B54&gt;1,[1]Sheet1!AE6,"")</f>
        <v/>
      </c>
      <c r="G54" t="str">
        <f>IF(B54&gt;1,[1]Sheet1!B6,"")</f>
        <v/>
      </c>
    </row>
    <row r="55" spans="1:7" x14ac:dyDescent="0.25">
      <c r="A55">
        <f>[1]Sheet1!AG7*30 + [1]Sheet1!AH7</f>
        <v>0</v>
      </c>
      <c r="B55">
        <f t="shared" si="0"/>
        <v>0</v>
      </c>
      <c r="C55">
        <f>IF(B55&gt;1,[1]Sheet1!AG7,0)</f>
        <v>0</v>
      </c>
      <c r="D55">
        <f>IF(B55&gt;1,[1]Sheet1!AH7,0)</f>
        <v>0</v>
      </c>
      <c r="E55" t="str">
        <f>IF(B55&gt;1,[1]Sheet1!AI7,"")</f>
        <v/>
      </c>
      <c r="F55" t="str">
        <f>IF(B55&gt;1,[1]Sheet1!AE7,"")</f>
        <v/>
      </c>
      <c r="G55" t="str">
        <f>IF(B55&gt;1,[1]Sheet1!B7,"")</f>
        <v/>
      </c>
    </row>
    <row r="56" spans="1:7" x14ac:dyDescent="0.25">
      <c r="A56">
        <f>[1]Sheet1!AG8*30 + [1]Sheet1!AH8</f>
        <v>0</v>
      </c>
      <c r="B56">
        <f t="shared" si="0"/>
        <v>0</v>
      </c>
      <c r="C56">
        <f>IF(B56&gt;1,[1]Sheet1!AG8,0)</f>
        <v>0</v>
      </c>
      <c r="D56">
        <f>IF(B56&gt;1,[1]Sheet1!AH8,0)</f>
        <v>0</v>
      </c>
      <c r="E56" t="str">
        <f>IF(B56&gt;1,[1]Sheet1!AI8,"")</f>
        <v/>
      </c>
      <c r="F56" t="str">
        <f>IF(B56&gt;1,[1]Sheet1!AE8,"")</f>
        <v/>
      </c>
      <c r="G56" t="str">
        <f>IF(B56&gt;1,[1]Sheet1!B8,"")</f>
        <v/>
      </c>
    </row>
    <row r="57" spans="1:7" x14ac:dyDescent="0.25">
      <c r="A57">
        <f>[1]Sheet1!AG9*30 + [1]Sheet1!AH9</f>
        <v>0</v>
      </c>
      <c r="B57">
        <f t="shared" si="0"/>
        <v>0</v>
      </c>
      <c r="C57">
        <f>IF(B57&gt;1,[1]Sheet1!AG9,0)</f>
        <v>0</v>
      </c>
      <c r="D57">
        <f>IF(B57&gt;1,[1]Sheet1!AH9,0)</f>
        <v>0</v>
      </c>
      <c r="E57" t="str">
        <f>IF(B57&gt;1,[1]Sheet1!AI9,"")</f>
        <v/>
      </c>
      <c r="F57" t="str">
        <f>IF(B57&gt;1,[1]Sheet1!AE9,"")</f>
        <v/>
      </c>
      <c r="G57" t="str">
        <f>IF(B57&gt;1,[1]Sheet1!B9,"")</f>
        <v/>
      </c>
    </row>
    <row r="58" spans="1:7" x14ac:dyDescent="0.25">
      <c r="A58">
        <f>[1]Sheet1!AG10*30 + [1]Sheet1!AH10</f>
        <v>0</v>
      </c>
      <c r="B58">
        <f t="shared" si="0"/>
        <v>0</v>
      </c>
      <c r="C58">
        <f>IF(B58&gt;1,[1]Sheet1!AG10,0)</f>
        <v>0</v>
      </c>
      <c r="D58">
        <f>IF(B58&gt;1,[1]Sheet1!AH10,0)</f>
        <v>0</v>
      </c>
      <c r="E58" t="str">
        <f>IF(B58&gt;1,[1]Sheet1!AI10,"")</f>
        <v/>
      </c>
      <c r="F58" t="str">
        <f>IF(B58&gt;1,[1]Sheet1!AE10,"")</f>
        <v/>
      </c>
      <c r="G58" t="str">
        <f>IF(B58&gt;1,[1]Sheet1!B10,"")</f>
        <v/>
      </c>
    </row>
    <row r="59" spans="1:7" x14ac:dyDescent="0.25">
      <c r="A59">
        <f>[1]Sheet1!AG11*30 + [1]Sheet1!AH11</f>
        <v>0</v>
      </c>
      <c r="B59">
        <f t="shared" si="0"/>
        <v>0</v>
      </c>
      <c r="C59">
        <f>IF(B59&gt;1,[1]Sheet1!AG11,0)</f>
        <v>0</v>
      </c>
      <c r="D59">
        <f>IF(B59&gt;1,[1]Sheet1!AH11,0)</f>
        <v>0</v>
      </c>
      <c r="E59" t="str">
        <f>IF(B59&gt;1,[1]Sheet1!AI11,"")</f>
        <v/>
      </c>
      <c r="F59" t="str">
        <f>IF(B59&gt;1,[1]Sheet1!AE11,"")</f>
        <v/>
      </c>
      <c r="G59" t="str">
        <f>IF(B59&gt;1,[1]Sheet1!B11,"")</f>
        <v/>
      </c>
    </row>
    <row r="60" spans="1:7" x14ac:dyDescent="0.25">
      <c r="A60">
        <f>[1]Sheet1!AG12*30 + [1]Sheet1!AH12</f>
        <v>0</v>
      </c>
      <c r="B60">
        <f t="shared" si="0"/>
        <v>0</v>
      </c>
      <c r="C60">
        <f>IF(B60&gt;1,[1]Sheet1!AG12,0)</f>
        <v>0</v>
      </c>
      <c r="D60">
        <f>IF(B60&gt;1,[1]Sheet1!AH12,0)</f>
        <v>0</v>
      </c>
      <c r="E60" t="str">
        <f>IF(B60&gt;1,[1]Sheet1!AI12,"")</f>
        <v/>
      </c>
      <c r="F60" t="str">
        <f>IF(B60&gt;1,[1]Sheet1!AE12,"")</f>
        <v/>
      </c>
      <c r="G60" t="str">
        <f>IF(B60&gt;1,[1]Sheet1!B12,"")</f>
        <v/>
      </c>
    </row>
    <row r="61" spans="1:7" x14ac:dyDescent="0.25">
      <c r="A61">
        <f>[1]Sheet1!AG13*30 + [1]Sheet1!AH13</f>
        <v>0</v>
      </c>
      <c r="B61">
        <f t="shared" si="0"/>
        <v>0</v>
      </c>
      <c r="C61">
        <f>IF(B61&gt;1,[1]Sheet1!AG13,0)</f>
        <v>0</v>
      </c>
      <c r="D61">
        <f>IF(B61&gt;1,[1]Sheet1!AH13,0)</f>
        <v>0</v>
      </c>
      <c r="E61" t="str">
        <f>IF(B61&gt;1,[1]Sheet1!AI13,"")</f>
        <v/>
      </c>
      <c r="F61" t="str">
        <f>IF(B61&gt;1,[1]Sheet1!AE13,"")</f>
        <v/>
      </c>
      <c r="G61" t="str">
        <f>IF(B61&gt;1,[1]Sheet1!B13,"")</f>
        <v/>
      </c>
    </row>
    <row r="62" spans="1:7" x14ac:dyDescent="0.25">
      <c r="A62">
        <f>[1]Sheet1!AG14*30 + [1]Sheet1!AH14</f>
        <v>0</v>
      </c>
      <c r="B62">
        <f t="shared" si="0"/>
        <v>0</v>
      </c>
      <c r="C62">
        <f>IF(B62&gt;1,[1]Sheet1!AG14,0)</f>
        <v>0</v>
      </c>
      <c r="D62">
        <f>IF(B62&gt;1,[1]Sheet1!AH14,0)</f>
        <v>0</v>
      </c>
      <c r="E62" t="str">
        <f>IF(B62&gt;1,[1]Sheet1!AI14,"")</f>
        <v/>
      </c>
      <c r="F62" t="str">
        <f>IF(B62&gt;1,[1]Sheet1!AE14,"")</f>
        <v/>
      </c>
      <c r="G62" t="str">
        <f>IF(B62&gt;1,[1]Sheet1!B14,"")</f>
        <v/>
      </c>
    </row>
    <row r="63" spans="1:7" x14ac:dyDescent="0.25">
      <c r="A63">
        <f>[1]Sheet1!AG15*30 + [1]Sheet1!AH15</f>
        <v>0</v>
      </c>
      <c r="B63">
        <f t="shared" si="0"/>
        <v>0</v>
      </c>
      <c r="C63">
        <f>IF(B63&gt;1,[1]Sheet1!AG15,0)</f>
        <v>0</v>
      </c>
      <c r="D63">
        <f>IF(B63&gt;1,[1]Sheet1!AH15,0)</f>
        <v>0</v>
      </c>
      <c r="E63" t="str">
        <f>IF(B63&gt;1,[1]Sheet1!AI15,"")</f>
        <v/>
      </c>
      <c r="F63" t="str">
        <f>IF(B63&gt;1,[1]Sheet1!AE15,"")</f>
        <v/>
      </c>
      <c r="G63" t="str">
        <f>IF(B63&gt;1,[1]Sheet1!B15,"")</f>
        <v/>
      </c>
    </row>
    <row r="64" spans="1:7" x14ac:dyDescent="0.25">
      <c r="A64">
        <f>[1]Sheet1!AG16*30 + [1]Sheet1!AH16</f>
        <v>0</v>
      </c>
      <c r="B64">
        <f t="shared" si="0"/>
        <v>0</v>
      </c>
      <c r="C64">
        <f>IF(B64&gt;1,[1]Sheet1!AG16,0)</f>
        <v>0</v>
      </c>
      <c r="D64">
        <f>IF(B64&gt;1,[1]Sheet1!AH16,0)</f>
        <v>0</v>
      </c>
      <c r="E64" t="str">
        <f>IF(B64&gt;1,[1]Sheet1!AI16,"")</f>
        <v/>
      </c>
      <c r="F64" t="str">
        <f>IF(B64&gt;1,[1]Sheet1!AE16,"")</f>
        <v/>
      </c>
      <c r="G64" t="str">
        <f>IF(B64&gt;1,[1]Sheet1!B16,"")</f>
        <v/>
      </c>
    </row>
    <row r="65" spans="1:7" x14ac:dyDescent="0.25">
      <c r="A65">
        <f>[1]Sheet1!AG17*30 + [1]Sheet1!AH17</f>
        <v>0</v>
      </c>
      <c r="B65">
        <f t="shared" si="0"/>
        <v>0</v>
      </c>
      <c r="C65">
        <f>IF(B65&gt;1,[1]Sheet1!AG17,0)</f>
        <v>0</v>
      </c>
      <c r="D65">
        <f>IF(B65&gt;1,[1]Sheet1!AH17,0)</f>
        <v>0</v>
      </c>
      <c r="E65" t="str">
        <f>IF(B65&gt;1,[1]Sheet1!AI17,"")</f>
        <v/>
      </c>
      <c r="F65" t="str">
        <f>IF(B65&gt;1,[1]Sheet1!AE17,"")</f>
        <v/>
      </c>
      <c r="G65" t="str">
        <f>IF(B65&gt;1,[1]Sheet1!B17,"")</f>
        <v/>
      </c>
    </row>
    <row r="66" spans="1:7" x14ac:dyDescent="0.25">
      <c r="A66">
        <f>[1]Sheet1!AG18*30 + [1]Sheet1!AH18</f>
        <v>0</v>
      </c>
      <c r="B66">
        <f t="shared" si="0"/>
        <v>0</v>
      </c>
      <c r="C66">
        <f>IF(B66&gt;1,[1]Sheet1!AG18,0)</f>
        <v>0</v>
      </c>
      <c r="D66">
        <f>IF(B66&gt;1,[1]Sheet1!AH18,0)</f>
        <v>0</v>
      </c>
      <c r="E66" t="str">
        <f>IF(B66&gt;1,[1]Sheet1!AI18,"")</f>
        <v/>
      </c>
      <c r="F66" t="str">
        <f>IF(B66&gt;1,[1]Sheet1!AE18,"")</f>
        <v/>
      </c>
      <c r="G66" t="str">
        <f>IF(B66&gt;1,[1]Sheet1!B18,"")</f>
        <v/>
      </c>
    </row>
    <row r="67" spans="1:7" x14ac:dyDescent="0.25">
      <c r="A67">
        <f>[1]Sheet1!AG19*30 + [1]Sheet1!AH19</f>
        <v>0</v>
      </c>
      <c r="B67">
        <f t="shared" ref="B67:B105" si="1">COUNTIFS(A:A,A67,A:A,"&gt;0")</f>
        <v>0</v>
      </c>
      <c r="C67">
        <f>IF(B67&gt;1,[1]Sheet1!AG19,0)</f>
        <v>0</v>
      </c>
      <c r="D67">
        <f>IF(B67&gt;1,[1]Sheet1!AH19,0)</f>
        <v>0</v>
      </c>
      <c r="E67" t="str">
        <f>IF(B67&gt;1,[1]Sheet1!AI19,"")</f>
        <v/>
      </c>
      <c r="F67" t="str">
        <f>IF(B67&gt;1,[1]Sheet1!AE19,"")</f>
        <v/>
      </c>
      <c r="G67" t="str">
        <f>IF(B67&gt;1,[1]Sheet1!B19,"")</f>
        <v/>
      </c>
    </row>
    <row r="68" spans="1:7" x14ac:dyDescent="0.25">
      <c r="A68">
        <f>[1]Sheet1!AG20*30 + [1]Sheet1!AH20</f>
        <v>0</v>
      </c>
      <c r="B68">
        <f t="shared" si="1"/>
        <v>0</v>
      </c>
      <c r="C68">
        <f>IF(B68&gt;1,[1]Sheet1!AG20,0)</f>
        <v>0</v>
      </c>
      <c r="D68">
        <f>IF(B68&gt;1,[1]Sheet1!AH20,0)</f>
        <v>0</v>
      </c>
      <c r="E68" t="str">
        <f>IF(B68&gt;1,[1]Sheet1!AI20,"")</f>
        <v/>
      </c>
      <c r="F68" t="str">
        <f>IF(B68&gt;1,[1]Sheet1!AE20,"")</f>
        <v/>
      </c>
      <c r="G68" t="str">
        <f>IF(B68&gt;1,[1]Sheet1!B20,"")</f>
        <v/>
      </c>
    </row>
    <row r="69" spans="1:7" x14ac:dyDescent="0.25">
      <c r="A69">
        <f>[1]Sheet1!AG21*30 + [1]Sheet1!AH21</f>
        <v>0</v>
      </c>
      <c r="B69">
        <f t="shared" si="1"/>
        <v>0</v>
      </c>
      <c r="C69">
        <f>IF(B69&gt;1,[1]Sheet1!AG21,0)</f>
        <v>0</v>
      </c>
      <c r="D69">
        <f>IF(B69&gt;1,[1]Sheet1!AH21,0)</f>
        <v>0</v>
      </c>
      <c r="E69" t="str">
        <f>IF(B69&gt;1,[1]Sheet1!AI21,"")</f>
        <v/>
      </c>
      <c r="F69" t="str">
        <f>IF(B69&gt;1,[1]Sheet1!AE21,"")</f>
        <v/>
      </c>
      <c r="G69" t="str">
        <f>IF(B69&gt;1,[1]Sheet1!B21,"")</f>
        <v/>
      </c>
    </row>
    <row r="70" spans="1:7" x14ac:dyDescent="0.25">
      <c r="A70">
        <f>[1]Sheet1!AG22*30 + [1]Sheet1!AH22</f>
        <v>0</v>
      </c>
      <c r="B70">
        <f t="shared" si="1"/>
        <v>0</v>
      </c>
      <c r="C70">
        <f>IF(B70&gt;1,[1]Sheet1!AG22,0)</f>
        <v>0</v>
      </c>
      <c r="D70">
        <f>IF(B70&gt;1,[1]Sheet1!AH22,0)</f>
        <v>0</v>
      </c>
      <c r="E70" t="str">
        <f>IF(B70&gt;1,[1]Sheet1!AI22,"")</f>
        <v/>
      </c>
      <c r="F70" t="str">
        <f>IF(B70&gt;1,[1]Sheet1!AE22,"")</f>
        <v/>
      </c>
      <c r="G70" t="str">
        <f>IF(B70&gt;1,[1]Sheet1!B22,"")</f>
        <v/>
      </c>
    </row>
    <row r="71" spans="1:7" x14ac:dyDescent="0.25">
      <c r="A71">
        <f>[1]Sheet1!AG23*30 + [1]Sheet1!AH23</f>
        <v>0</v>
      </c>
      <c r="B71">
        <f t="shared" si="1"/>
        <v>0</v>
      </c>
      <c r="C71">
        <f>IF(B71&gt;1,[1]Sheet1!AG23,0)</f>
        <v>0</v>
      </c>
      <c r="D71">
        <f>IF(B71&gt;1,[1]Sheet1!AH23,0)</f>
        <v>0</v>
      </c>
      <c r="E71" t="str">
        <f>IF(B71&gt;1,[1]Sheet1!AI23,"")</f>
        <v/>
      </c>
      <c r="F71" t="str">
        <f>IF(B71&gt;1,[1]Sheet1!AE23,"")</f>
        <v/>
      </c>
      <c r="G71" t="str">
        <f>IF(B71&gt;1,[1]Sheet1!B23,"")</f>
        <v/>
      </c>
    </row>
    <row r="72" spans="1:7" x14ac:dyDescent="0.25">
      <c r="A72">
        <f>[1]Sheet1!AG24*30 + [1]Sheet1!AH24</f>
        <v>0</v>
      </c>
      <c r="B72">
        <f t="shared" si="1"/>
        <v>0</v>
      </c>
      <c r="C72">
        <f>IF(B72&gt;1,[1]Sheet1!AG24,0)</f>
        <v>0</v>
      </c>
      <c r="D72">
        <f>IF(B72&gt;1,[1]Sheet1!AH24,0)</f>
        <v>0</v>
      </c>
      <c r="E72" t="str">
        <f>IF(B72&gt;1,[1]Sheet1!AI24,"")</f>
        <v/>
      </c>
      <c r="F72" t="str">
        <f>IF(B72&gt;1,[1]Sheet1!AE24,"")</f>
        <v/>
      </c>
      <c r="G72" t="str">
        <f>IF(B72&gt;1,[1]Sheet1!B24,"")</f>
        <v/>
      </c>
    </row>
    <row r="73" spans="1:7" x14ac:dyDescent="0.25">
      <c r="A73">
        <f>[1]Sheet1!AG25*30 + [1]Sheet1!AH25</f>
        <v>0</v>
      </c>
      <c r="B73">
        <f t="shared" si="1"/>
        <v>0</v>
      </c>
      <c r="C73">
        <f>IF(B73&gt;1,[1]Sheet1!AG25,0)</f>
        <v>0</v>
      </c>
      <c r="D73">
        <f>IF(B73&gt;1,[1]Sheet1!AH25,0)</f>
        <v>0</v>
      </c>
      <c r="E73" t="str">
        <f>IF(B73&gt;1,[1]Sheet1!AI25,"")</f>
        <v/>
      </c>
      <c r="F73" t="str">
        <f>IF(B73&gt;1,[1]Sheet1!AE25,"")</f>
        <v/>
      </c>
      <c r="G73" t="str">
        <f>IF(B73&gt;1,[1]Sheet1!B25,"")</f>
        <v/>
      </c>
    </row>
    <row r="74" spans="1:7" x14ac:dyDescent="0.25">
      <c r="A74">
        <f>[1]Sheet1!AG26*30 + [1]Sheet1!AH26</f>
        <v>0</v>
      </c>
      <c r="B74">
        <f t="shared" si="1"/>
        <v>0</v>
      </c>
      <c r="C74">
        <f>IF(B74&gt;1,[1]Sheet1!AG26,0)</f>
        <v>0</v>
      </c>
      <c r="D74">
        <f>IF(B74&gt;1,[1]Sheet1!AH26,0)</f>
        <v>0</v>
      </c>
      <c r="E74" t="str">
        <f>IF(B74&gt;1,[1]Sheet1!AI26,"")</f>
        <v/>
      </c>
      <c r="F74" t="str">
        <f>IF(B74&gt;1,[1]Sheet1!AE26,"")</f>
        <v/>
      </c>
      <c r="G74" t="str">
        <f>IF(B74&gt;1,[1]Sheet1!B26,"")</f>
        <v/>
      </c>
    </row>
    <row r="75" spans="1:7" x14ac:dyDescent="0.25">
      <c r="A75">
        <f>[1]Sheet1!AG27*30 + [1]Sheet1!AH27</f>
        <v>0</v>
      </c>
      <c r="B75">
        <f t="shared" si="1"/>
        <v>0</v>
      </c>
      <c r="C75">
        <f>IF(B75&gt;1,[1]Sheet1!AG27,0)</f>
        <v>0</v>
      </c>
      <c r="D75">
        <f>IF(B75&gt;1,[1]Sheet1!AH27,0)</f>
        <v>0</v>
      </c>
      <c r="E75" t="str">
        <f>IF(B75&gt;1,[1]Sheet1!AI27,"")</f>
        <v/>
      </c>
      <c r="F75" t="str">
        <f>IF(B75&gt;1,[1]Sheet1!AE27,"")</f>
        <v/>
      </c>
      <c r="G75" t="str">
        <f>IF(B75&gt;1,[1]Sheet1!B27,"")</f>
        <v/>
      </c>
    </row>
    <row r="76" spans="1:7" x14ac:dyDescent="0.25">
      <c r="A76">
        <f>[1]Sheet1!AG28*30 + [1]Sheet1!AH28</f>
        <v>0</v>
      </c>
      <c r="B76">
        <f t="shared" si="1"/>
        <v>0</v>
      </c>
      <c r="C76">
        <f>IF(B76&gt;1,[1]Sheet1!AG28,0)</f>
        <v>0</v>
      </c>
      <c r="D76">
        <f>IF(B76&gt;1,[1]Sheet1!AH28,0)</f>
        <v>0</v>
      </c>
      <c r="E76" t="str">
        <f>IF(B76&gt;1,[1]Sheet1!AI28,"")</f>
        <v/>
      </c>
      <c r="F76" t="str">
        <f>IF(B76&gt;1,[1]Sheet1!AE28,"")</f>
        <v/>
      </c>
      <c r="G76" t="str">
        <f>IF(B76&gt;1,[1]Sheet1!B28,"")</f>
        <v/>
      </c>
    </row>
    <row r="77" spans="1:7" x14ac:dyDescent="0.25">
      <c r="A77">
        <f>[1]Sheet1!AG29*30 + [1]Sheet1!AH29</f>
        <v>0</v>
      </c>
      <c r="B77">
        <f t="shared" si="1"/>
        <v>0</v>
      </c>
      <c r="C77">
        <f>IF(B77&gt;1,[1]Sheet1!AG29,0)</f>
        <v>0</v>
      </c>
      <c r="D77">
        <f>IF(B77&gt;1,[1]Sheet1!AH29,0)</f>
        <v>0</v>
      </c>
      <c r="E77" t="str">
        <f>IF(B77&gt;1,[1]Sheet1!AI29,"")</f>
        <v/>
      </c>
      <c r="F77" t="str">
        <f>IF(B77&gt;1,[1]Sheet1!AE29,"")</f>
        <v/>
      </c>
      <c r="G77" t="str">
        <f>IF(B77&gt;1,[1]Sheet1!B29,"")</f>
        <v/>
      </c>
    </row>
    <row r="78" spans="1:7" x14ac:dyDescent="0.25">
      <c r="A78">
        <f>[1]Sheet1!AG30*30 + [1]Sheet1!AH30</f>
        <v>0</v>
      </c>
      <c r="B78">
        <f t="shared" si="1"/>
        <v>0</v>
      </c>
      <c r="C78">
        <f>IF(B78&gt;1,[1]Sheet1!AG30,0)</f>
        <v>0</v>
      </c>
      <c r="D78">
        <f>IF(B78&gt;1,[1]Sheet1!AH30,0)</f>
        <v>0</v>
      </c>
      <c r="E78" t="str">
        <f>IF(B78&gt;1,[1]Sheet1!AI30,"")</f>
        <v/>
      </c>
      <c r="F78" t="str">
        <f>IF(B78&gt;1,[1]Sheet1!AE30,"")</f>
        <v/>
      </c>
      <c r="G78" t="str">
        <f>IF(B78&gt;1,[1]Sheet1!B30,"")</f>
        <v/>
      </c>
    </row>
    <row r="79" spans="1:7" x14ac:dyDescent="0.25">
      <c r="A79">
        <f>[1]Sheet1!AG31*30 + [1]Sheet1!AH31</f>
        <v>0</v>
      </c>
      <c r="B79">
        <f t="shared" si="1"/>
        <v>0</v>
      </c>
      <c r="C79">
        <f>IF(B79&gt;1,[1]Sheet1!AG31,0)</f>
        <v>0</v>
      </c>
      <c r="D79">
        <f>IF(B79&gt;1,[1]Sheet1!AH31,0)</f>
        <v>0</v>
      </c>
      <c r="E79" t="str">
        <f>IF(B79&gt;1,[1]Sheet1!AI31,"")</f>
        <v/>
      </c>
      <c r="F79" t="str">
        <f>IF(B79&gt;1,[1]Sheet1!AE31,"")</f>
        <v/>
      </c>
      <c r="G79" t="str">
        <f>IF(B79&gt;1,[1]Sheet1!B31,"")</f>
        <v/>
      </c>
    </row>
    <row r="80" spans="1:7" x14ac:dyDescent="0.25">
      <c r="A80">
        <f>[1]Sheet1!AG32*30 + [1]Sheet1!AH32</f>
        <v>0</v>
      </c>
      <c r="B80">
        <f t="shared" si="1"/>
        <v>0</v>
      </c>
      <c r="C80">
        <f>IF(B80&gt;1,[1]Sheet1!AG32,0)</f>
        <v>0</v>
      </c>
      <c r="D80">
        <f>IF(B80&gt;1,[1]Sheet1!AH32,0)</f>
        <v>0</v>
      </c>
      <c r="E80" t="str">
        <f>IF(B80&gt;1,[1]Sheet1!AI32,"")</f>
        <v/>
      </c>
      <c r="F80" t="str">
        <f>IF(B80&gt;1,[1]Sheet1!AE32,"")</f>
        <v/>
      </c>
      <c r="G80" t="str">
        <f>IF(B80&gt;1,[1]Sheet1!B32,"")</f>
        <v/>
      </c>
    </row>
    <row r="81" spans="1:7" x14ac:dyDescent="0.25">
      <c r="A81">
        <f>[1]Sheet1!AG33*30 + [1]Sheet1!AH33</f>
        <v>0</v>
      </c>
      <c r="B81">
        <f t="shared" si="1"/>
        <v>0</v>
      </c>
      <c r="C81">
        <f>IF(B81&gt;1,[1]Sheet1!AG33,0)</f>
        <v>0</v>
      </c>
      <c r="D81">
        <f>IF(B81&gt;1,[1]Sheet1!AH33,0)</f>
        <v>0</v>
      </c>
      <c r="E81" t="str">
        <f>IF(B81&gt;1,[1]Sheet1!AI33,"")</f>
        <v/>
      </c>
      <c r="F81" t="str">
        <f>IF(B81&gt;1,[1]Sheet1!AE33,"")</f>
        <v/>
      </c>
      <c r="G81" t="str">
        <f>IF(B81&gt;1,[1]Sheet1!B33,"")</f>
        <v/>
      </c>
    </row>
    <row r="82" spans="1:7" x14ac:dyDescent="0.25">
      <c r="A82">
        <f>[1]Sheet1!AG34*30 + [1]Sheet1!AH34</f>
        <v>0</v>
      </c>
      <c r="B82">
        <f t="shared" si="1"/>
        <v>0</v>
      </c>
      <c r="C82">
        <f>IF(B82&gt;1,[1]Sheet1!AG34,0)</f>
        <v>0</v>
      </c>
      <c r="D82">
        <f>IF(B82&gt;1,[1]Sheet1!AH34,0)</f>
        <v>0</v>
      </c>
      <c r="E82" t="str">
        <f>IF(B82&gt;1,[1]Sheet1!AI34,"")</f>
        <v/>
      </c>
      <c r="F82" t="str">
        <f>IF(B82&gt;1,[1]Sheet1!AE34,"")</f>
        <v/>
      </c>
      <c r="G82" t="str">
        <f>IF(B82&gt;1,[1]Sheet1!B34,"")</f>
        <v/>
      </c>
    </row>
    <row r="83" spans="1:7" x14ac:dyDescent="0.25">
      <c r="A83">
        <f>[1]Sheet1!AG35*30 + [1]Sheet1!AH35</f>
        <v>0</v>
      </c>
      <c r="B83">
        <f t="shared" si="1"/>
        <v>0</v>
      </c>
      <c r="C83">
        <f>IF(B83&gt;1,[1]Sheet1!AG35,0)</f>
        <v>0</v>
      </c>
      <c r="D83">
        <f>IF(B83&gt;1,[1]Sheet1!AH35,0)</f>
        <v>0</v>
      </c>
      <c r="E83" t="str">
        <f>IF(B83&gt;1,[1]Sheet1!AI35,"")</f>
        <v/>
      </c>
      <c r="F83" t="str">
        <f>IF(B83&gt;1,[1]Sheet1!AE35,"")</f>
        <v/>
      </c>
      <c r="G83" t="str">
        <f>IF(B83&gt;1,[1]Sheet1!B35,"")</f>
        <v/>
      </c>
    </row>
    <row r="84" spans="1:7" x14ac:dyDescent="0.25">
      <c r="A84">
        <f>[1]Sheet1!AG36*30 + [1]Sheet1!AH36</f>
        <v>0</v>
      </c>
      <c r="B84">
        <f t="shared" si="1"/>
        <v>0</v>
      </c>
      <c r="C84">
        <f>IF(B84&gt;1,[1]Sheet1!AG36,0)</f>
        <v>0</v>
      </c>
      <c r="D84">
        <f>IF(B84&gt;1,[1]Sheet1!AH36,0)</f>
        <v>0</v>
      </c>
      <c r="E84" t="str">
        <f>IF(B84&gt;1,[1]Sheet1!AI36,"")</f>
        <v/>
      </c>
      <c r="F84" t="str">
        <f>IF(B84&gt;1,[1]Sheet1!AE36,"")</f>
        <v/>
      </c>
      <c r="G84" t="str">
        <f>IF(B84&gt;1,[1]Sheet1!B36,"")</f>
        <v/>
      </c>
    </row>
    <row r="85" spans="1:7" x14ac:dyDescent="0.25">
      <c r="A85">
        <f>[1]Sheet1!AG37*30 + [1]Sheet1!AH37</f>
        <v>0</v>
      </c>
      <c r="B85">
        <f t="shared" si="1"/>
        <v>0</v>
      </c>
      <c r="C85">
        <f>IF(B85&gt;1,[1]Sheet1!AG37,0)</f>
        <v>0</v>
      </c>
      <c r="D85">
        <f>IF(B85&gt;1,[1]Sheet1!AH37,0)</f>
        <v>0</v>
      </c>
      <c r="E85" t="str">
        <f>IF(B85&gt;1,[1]Sheet1!AI37,"")</f>
        <v/>
      </c>
      <c r="F85" t="str">
        <f>IF(B85&gt;1,[1]Sheet1!AE37,"")</f>
        <v/>
      </c>
      <c r="G85" t="str">
        <f>IF(B85&gt;1,[1]Sheet1!B37,"")</f>
        <v/>
      </c>
    </row>
    <row r="86" spans="1:7" x14ac:dyDescent="0.25">
      <c r="A86">
        <f>[1]Sheet1!AG38*30 + [1]Sheet1!AH38</f>
        <v>0</v>
      </c>
      <c r="B86">
        <f t="shared" si="1"/>
        <v>0</v>
      </c>
      <c r="C86">
        <f>IF(B86&gt;1,[1]Sheet1!AG38,0)</f>
        <v>0</v>
      </c>
      <c r="D86">
        <f>IF(B86&gt;1,[1]Sheet1!AH38,0)</f>
        <v>0</v>
      </c>
      <c r="E86" t="str">
        <f>IF(B86&gt;1,[1]Sheet1!AI38,"")</f>
        <v/>
      </c>
      <c r="F86" t="str">
        <f>IF(B86&gt;1,[1]Sheet1!AE38,"")</f>
        <v/>
      </c>
      <c r="G86" t="str">
        <f>IF(B86&gt;1,[1]Sheet1!B38,"")</f>
        <v/>
      </c>
    </row>
    <row r="87" spans="1:7" x14ac:dyDescent="0.25">
      <c r="A87">
        <f>[1]Sheet1!AG39*30 + [1]Sheet1!AH39</f>
        <v>0</v>
      </c>
      <c r="B87">
        <f t="shared" si="1"/>
        <v>0</v>
      </c>
      <c r="C87">
        <f>IF(B87&gt;1,[1]Sheet1!AG39,0)</f>
        <v>0</v>
      </c>
      <c r="D87">
        <f>IF(B87&gt;1,[1]Sheet1!AH39,0)</f>
        <v>0</v>
      </c>
      <c r="E87" t="str">
        <f>IF(B87&gt;1,[1]Sheet1!AI39,"")</f>
        <v/>
      </c>
      <c r="F87" t="str">
        <f>IF(B87&gt;1,[1]Sheet1!AE39,"")</f>
        <v/>
      </c>
      <c r="G87" t="str">
        <f>IF(B87&gt;1,[1]Sheet1!B39,"")</f>
        <v/>
      </c>
    </row>
    <row r="88" spans="1:7" x14ac:dyDescent="0.25">
      <c r="A88">
        <f>[1]Sheet1!AG40*30 + [1]Sheet1!AH40</f>
        <v>0</v>
      </c>
      <c r="B88">
        <f t="shared" si="1"/>
        <v>0</v>
      </c>
      <c r="C88">
        <f>IF(B88&gt;1,[1]Sheet1!AG40,0)</f>
        <v>0</v>
      </c>
      <c r="D88">
        <f>IF(B88&gt;1,[1]Sheet1!AH40,0)</f>
        <v>0</v>
      </c>
      <c r="E88" t="str">
        <f>IF(B88&gt;1,[1]Sheet1!AI40,"")</f>
        <v/>
      </c>
      <c r="F88" t="str">
        <f>IF(B88&gt;1,[1]Sheet1!AE40,"")</f>
        <v/>
      </c>
      <c r="G88" t="str">
        <f>IF(B88&gt;1,[1]Sheet1!B40,"")</f>
        <v/>
      </c>
    </row>
    <row r="89" spans="1:7" x14ac:dyDescent="0.25">
      <c r="A89">
        <f>[1]Sheet1!AG41*30 + [1]Sheet1!AH41</f>
        <v>0</v>
      </c>
      <c r="B89">
        <f t="shared" si="1"/>
        <v>0</v>
      </c>
      <c r="C89">
        <f>IF(B89&gt;1,[1]Sheet1!AG41,0)</f>
        <v>0</v>
      </c>
      <c r="D89">
        <f>IF(B89&gt;1,[1]Sheet1!AH41,0)</f>
        <v>0</v>
      </c>
      <c r="E89" t="str">
        <f>IF(B89&gt;1,[1]Sheet1!AI41,"")</f>
        <v/>
      </c>
      <c r="F89" t="str">
        <f>IF(B89&gt;1,[1]Sheet1!AE41,"")</f>
        <v/>
      </c>
      <c r="G89" t="str">
        <f>IF(B89&gt;1,[1]Sheet1!B41,"")</f>
        <v/>
      </c>
    </row>
    <row r="90" spans="1:7" x14ac:dyDescent="0.25">
      <c r="A90">
        <f>[1]Sheet1!AG42*30 + [1]Sheet1!AH42</f>
        <v>0</v>
      </c>
      <c r="B90">
        <f t="shared" si="1"/>
        <v>0</v>
      </c>
      <c r="C90">
        <f>IF(B90&gt;1,[1]Sheet1!AG42,0)</f>
        <v>0</v>
      </c>
      <c r="D90">
        <f>IF(B90&gt;1,[1]Sheet1!AH42,0)</f>
        <v>0</v>
      </c>
      <c r="E90" t="str">
        <f>IF(B90&gt;1,[1]Sheet1!AI42,"")</f>
        <v/>
      </c>
      <c r="F90" t="str">
        <f>IF(B90&gt;1,[1]Sheet1!AE42,"")</f>
        <v/>
      </c>
      <c r="G90" t="str">
        <f>IF(B90&gt;1,[1]Sheet1!B42,"")</f>
        <v/>
      </c>
    </row>
    <row r="91" spans="1:7" x14ac:dyDescent="0.25">
      <c r="A91">
        <f>[1]Sheet1!AG43*30 + [1]Sheet1!AH43</f>
        <v>0</v>
      </c>
      <c r="B91">
        <f t="shared" si="1"/>
        <v>0</v>
      </c>
      <c r="C91">
        <f>IF(B91&gt;1,[1]Sheet1!AG43,0)</f>
        <v>0</v>
      </c>
      <c r="D91">
        <f>IF(B91&gt;1,[1]Sheet1!AH43,0)</f>
        <v>0</v>
      </c>
      <c r="E91" t="str">
        <f>IF(B91&gt;1,[1]Sheet1!AI43,"")</f>
        <v/>
      </c>
      <c r="F91" t="str">
        <f>IF(B91&gt;1,[1]Sheet1!AE43,"")</f>
        <v/>
      </c>
      <c r="G91" t="str">
        <f>IF(B91&gt;1,[1]Sheet1!B43,"")</f>
        <v/>
      </c>
    </row>
    <row r="92" spans="1:7" x14ac:dyDescent="0.25">
      <c r="A92">
        <f>[1]Sheet1!AG44*30 + [1]Sheet1!AH44</f>
        <v>0</v>
      </c>
      <c r="B92">
        <f t="shared" si="1"/>
        <v>0</v>
      </c>
      <c r="C92">
        <f>IF(B92&gt;1,[1]Sheet1!AG44,0)</f>
        <v>0</v>
      </c>
      <c r="D92">
        <f>IF(B92&gt;1,[1]Sheet1!AH44,0)</f>
        <v>0</v>
      </c>
      <c r="E92" t="str">
        <f>IF(B92&gt;1,[1]Sheet1!AI44,"")</f>
        <v/>
      </c>
      <c r="F92" t="str">
        <f>IF(B92&gt;1,[1]Sheet1!AE44,"")</f>
        <v/>
      </c>
      <c r="G92" t="str">
        <f>IF(B92&gt;1,[1]Sheet1!B44,"")</f>
        <v/>
      </c>
    </row>
    <row r="93" spans="1:7" x14ac:dyDescent="0.25">
      <c r="A93">
        <f>[1]Sheet1!AG45*30 + [1]Sheet1!AH45</f>
        <v>0</v>
      </c>
      <c r="B93">
        <f t="shared" si="1"/>
        <v>0</v>
      </c>
      <c r="C93">
        <f>IF(B93&gt;1,[1]Sheet1!AG45,0)</f>
        <v>0</v>
      </c>
      <c r="D93">
        <f>IF(B93&gt;1,[1]Sheet1!AH45,0)</f>
        <v>0</v>
      </c>
      <c r="E93" t="str">
        <f>IF(B93&gt;1,[1]Sheet1!AI45,"")</f>
        <v/>
      </c>
      <c r="F93" t="str">
        <f>IF(B93&gt;1,[1]Sheet1!AE45,"")</f>
        <v/>
      </c>
      <c r="G93" t="str">
        <f>IF(B93&gt;1,[1]Sheet1!B45,"")</f>
        <v/>
      </c>
    </row>
    <row r="94" spans="1:7" x14ac:dyDescent="0.25">
      <c r="A94">
        <f>[1]Sheet1!AG46*30 + [1]Sheet1!AH46</f>
        <v>0</v>
      </c>
      <c r="B94">
        <f t="shared" si="1"/>
        <v>0</v>
      </c>
      <c r="C94">
        <f>IF(B94&gt;1,[1]Sheet1!AG46,0)</f>
        <v>0</v>
      </c>
      <c r="D94">
        <f>IF(B94&gt;1,[1]Sheet1!AH46,0)</f>
        <v>0</v>
      </c>
      <c r="E94" t="str">
        <f>IF(B94&gt;1,[1]Sheet1!AI46,"")</f>
        <v/>
      </c>
      <c r="F94" t="str">
        <f>IF(B94&gt;1,[1]Sheet1!AE46,"")</f>
        <v/>
      </c>
      <c r="G94" t="str">
        <f>IF(B94&gt;1,[1]Sheet1!B46,"")</f>
        <v/>
      </c>
    </row>
    <row r="95" spans="1:7" x14ac:dyDescent="0.25">
      <c r="A95">
        <f>[1]Sheet1!AG47*30 + [1]Sheet1!AH47</f>
        <v>0</v>
      </c>
      <c r="B95">
        <f t="shared" si="1"/>
        <v>0</v>
      </c>
      <c r="C95">
        <f>IF(B95&gt;1,[1]Sheet1!AG47,0)</f>
        <v>0</v>
      </c>
      <c r="D95">
        <f>IF(B95&gt;1,[1]Sheet1!AH47,0)</f>
        <v>0</v>
      </c>
      <c r="E95" t="str">
        <f>IF(B95&gt;1,[1]Sheet1!AI47,"")</f>
        <v/>
      </c>
      <c r="F95" t="str">
        <f>IF(B95&gt;1,[1]Sheet1!AE47,"")</f>
        <v/>
      </c>
      <c r="G95" t="str">
        <f>IF(B95&gt;1,[1]Sheet1!B47,"")</f>
        <v/>
      </c>
    </row>
    <row r="96" spans="1:7" x14ac:dyDescent="0.25">
      <c r="A96">
        <f>[1]Sheet1!AG48*30 + [1]Sheet1!AH48</f>
        <v>0</v>
      </c>
      <c r="B96">
        <f t="shared" si="1"/>
        <v>0</v>
      </c>
      <c r="C96">
        <f>IF(B96&gt;1,[1]Sheet1!AG48,0)</f>
        <v>0</v>
      </c>
      <c r="D96">
        <f>IF(B96&gt;1,[1]Sheet1!AH48,0)</f>
        <v>0</v>
      </c>
      <c r="E96" t="str">
        <f>IF(B96&gt;1,[1]Sheet1!AI48,"")</f>
        <v/>
      </c>
      <c r="F96" t="str">
        <f>IF(B96&gt;1,[1]Sheet1!AE48,"")</f>
        <v/>
      </c>
      <c r="G96" t="str">
        <f>IF(B96&gt;1,[1]Sheet1!B48,"")</f>
        <v/>
      </c>
    </row>
    <row r="97" spans="1:7" x14ac:dyDescent="0.25">
      <c r="A97">
        <f>[1]Sheet1!AG49*30 + [1]Sheet1!AH49</f>
        <v>0</v>
      </c>
      <c r="B97">
        <f t="shared" si="1"/>
        <v>0</v>
      </c>
      <c r="C97">
        <f>IF(B97&gt;1,[1]Sheet1!AG49,0)</f>
        <v>0</v>
      </c>
      <c r="D97">
        <f>IF(B97&gt;1,[1]Sheet1!AH49,0)</f>
        <v>0</v>
      </c>
      <c r="E97" t="str">
        <f>IF(B97&gt;1,[1]Sheet1!AI49,"")</f>
        <v/>
      </c>
      <c r="F97" t="str">
        <f>IF(B97&gt;1,[1]Sheet1!AE49,"")</f>
        <v/>
      </c>
      <c r="G97" t="str">
        <f>IF(B97&gt;1,[1]Sheet1!B49,"")</f>
        <v/>
      </c>
    </row>
    <row r="98" spans="1:7" x14ac:dyDescent="0.25">
      <c r="A98">
        <f>[1]Sheet1!AG50*30 + [1]Sheet1!AH50</f>
        <v>0</v>
      </c>
      <c r="B98">
        <f t="shared" si="1"/>
        <v>0</v>
      </c>
      <c r="C98">
        <f>IF(B98&gt;1,[1]Sheet1!AG50,0)</f>
        <v>0</v>
      </c>
      <c r="D98">
        <f>IF(B98&gt;1,[1]Sheet1!AH50,0)</f>
        <v>0</v>
      </c>
      <c r="E98" t="str">
        <f>IF(B98&gt;1,[1]Sheet1!AI50,"")</f>
        <v/>
      </c>
      <c r="F98" t="str">
        <f>IF(B98&gt;1,[1]Sheet1!AE50,"")</f>
        <v/>
      </c>
      <c r="G98" t="str">
        <f>IF(B98&gt;1,[1]Sheet1!B50,"")</f>
        <v/>
      </c>
    </row>
    <row r="99" spans="1:7" x14ac:dyDescent="0.25">
      <c r="A99">
        <f>[1]Sheet1!AG51*30 + [1]Sheet1!AH51</f>
        <v>0</v>
      </c>
      <c r="B99">
        <f t="shared" si="1"/>
        <v>0</v>
      </c>
      <c r="C99">
        <f>IF(B99&gt;1,[1]Sheet1!AG51,0)</f>
        <v>0</v>
      </c>
      <c r="D99">
        <f>IF(B99&gt;1,[1]Sheet1!AH51,0)</f>
        <v>0</v>
      </c>
      <c r="E99" t="str">
        <f>IF(B99&gt;1,[1]Sheet1!AI51,"")</f>
        <v/>
      </c>
      <c r="F99" t="str">
        <f>IF(B99&gt;1,[1]Sheet1!AE51,"")</f>
        <v/>
      </c>
      <c r="G99" t="str">
        <f>IF(B99&gt;1,[1]Sheet1!B51,"")</f>
        <v/>
      </c>
    </row>
    <row r="100" spans="1:7" x14ac:dyDescent="0.25">
      <c r="A100">
        <f>[1]Sheet1!AG52*30 + [1]Sheet1!AH52</f>
        <v>0</v>
      </c>
      <c r="B100">
        <f t="shared" si="1"/>
        <v>0</v>
      </c>
      <c r="C100">
        <f>IF(B100&gt;1,[1]Sheet1!AG52,0)</f>
        <v>0</v>
      </c>
      <c r="D100">
        <f>IF(B100&gt;1,[1]Sheet1!AH52,0)</f>
        <v>0</v>
      </c>
      <c r="E100" t="str">
        <f>IF(B100&gt;1,[1]Sheet1!AI52,"")</f>
        <v/>
      </c>
      <c r="F100" t="str">
        <f>IF(B100&gt;1,[1]Sheet1!AE52,"")</f>
        <v/>
      </c>
      <c r="G100" t="str">
        <f>IF(B100&gt;1,[1]Sheet1!B52,"")</f>
        <v/>
      </c>
    </row>
    <row r="101" spans="1:7" x14ac:dyDescent="0.25">
      <c r="A101">
        <f>[1]Sheet1!AG53*30 + [1]Sheet1!AH53</f>
        <v>0</v>
      </c>
      <c r="B101">
        <f t="shared" si="1"/>
        <v>0</v>
      </c>
      <c r="C101">
        <f>IF(B101&gt;1,[1]Sheet1!AG53,0)</f>
        <v>0</v>
      </c>
      <c r="D101">
        <f>IF(B101&gt;1,[1]Sheet1!AH53,0)</f>
        <v>0</v>
      </c>
      <c r="E101" t="str">
        <f>IF(B101&gt;1,[1]Sheet1!AI53,"")</f>
        <v/>
      </c>
      <c r="F101" t="str">
        <f>IF(B101&gt;1,[1]Sheet1!AE53,"")</f>
        <v/>
      </c>
      <c r="G101" t="str">
        <f>IF(B101&gt;1,[1]Sheet1!B53,"")</f>
        <v/>
      </c>
    </row>
    <row r="102" spans="1:7" x14ac:dyDescent="0.25">
      <c r="A102">
        <f>[1]Sheet1!AG54*30 + [1]Sheet1!AH54</f>
        <v>0</v>
      </c>
      <c r="B102">
        <f t="shared" si="1"/>
        <v>0</v>
      </c>
      <c r="C102">
        <f>IF(B102&gt;1,[1]Sheet1!AG54,0)</f>
        <v>0</v>
      </c>
      <c r="D102">
        <f>IF(B102&gt;1,[1]Sheet1!AH54,0)</f>
        <v>0</v>
      </c>
      <c r="E102" t="str">
        <f>IF(B102&gt;1,[1]Sheet1!AI54,"")</f>
        <v/>
      </c>
      <c r="F102" t="str">
        <f>IF(B102&gt;1,[1]Sheet1!AE54,"")</f>
        <v/>
      </c>
      <c r="G102" t="str">
        <f>IF(B102&gt;1,[1]Sheet1!B54,"")</f>
        <v/>
      </c>
    </row>
    <row r="103" spans="1:7" x14ac:dyDescent="0.25">
      <c r="A103">
        <f>[1]Sheet1!AG55*30 + [1]Sheet1!AH55</f>
        <v>0</v>
      </c>
      <c r="B103">
        <f t="shared" si="1"/>
        <v>0</v>
      </c>
      <c r="C103">
        <f>IF(B103&gt;1,[1]Sheet1!AG55,0)</f>
        <v>0</v>
      </c>
      <c r="D103">
        <f>IF(B103&gt;1,[1]Sheet1!AH55,0)</f>
        <v>0</v>
      </c>
      <c r="E103" t="str">
        <f>IF(B103&gt;1,[1]Sheet1!AI55,"")</f>
        <v/>
      </c>
      <c r="F103" t="str">
        <f>IF(B103&gt;1,[1]Sheet1!AE55,"")</f>
        <v/>
      </c>
      <c r="G103" t="str">
        <f>IF(B103&gt;1,[1]Sheet1!B55,"")</f>
        <v/>
      </c>
    </row>
    <row r="104" spans="1:7" x14ac:dyDescent="0.25">
      <c r="A104">
        <f>[1]Sheet1!AG56*30 + [1]Sheet1!AH56</f>
        <v>0</v>
      </c>
      <c r="B104">
        <f t="shared" si="1"/>
        <v>0</v>
      </c>
      <c r="C104">
        <f>IF(B104&gt;1,[1]Sheet1!AG56,0)</f>
        <v>0</v>
      </c>
      <c r="D104">
        <f>IF(B104&gt;1,[1]Sheet1!AH56,0)</f>
        <v>0</v>
      </c>
      <c r="E104" t="str">
        <f>IF(B104&gt;1,[1]Sheet1!AI56,"")</f>
        <v/>
      </c>
      <c r="F104" t="str">
        <f>IF(B104&gt;1,[1]Sheet1!AE56,"")</f>
        <v/>
      </c>
      <c r="G104" t="str">
        <f>IF(B104&gt;1,[1]Sheet1!B56,"")</f>
        <v/>
      </c>
    </row>
    <row r="105" spans="1:7" x14ac:dyDescent="0.25">
      <c r="A105">
        <f>[1]Sheet1!AG57*30 + [1]Sheet1!AH57</f>
        <v>0</v>
      </c>
      <c r="B105">
        <f t="shared" si="1"/>
        <v>0</v>
      </c>
      <c r="C105">
        <f>IF(B105&gt;1,[1]Sheet1!AG57,0)</f>
        <v>0</v>
      </c>
      <c r="D105">
        <f>IF(B105&gt;1,[1]Sheet1!AH57,0)</f>
        <v>0</v>
      </c>
      <c r="E105" t="str">
        <f>IF(B105&gt;1,[1]Sheet1!AI57,"")</f>
        <v/>
      </c>
      <c r="F105" t="str">
        <f>IF(B105&gt;1,[1]Sheet1!AE57,"")</f>
        <v/>
      </c>
      <c r="G105" t="str">
        <f>IF(B105&gt;1,[1]Sheet1!B57,"")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105"/>
  <sheetViews>
    <sheetView workbookViewId="0">
      <selection activeCell="I97" sqref="I97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148</v>
      </c>
      <c r="E1" t="s">
        <v>149</v>
      </c>
      <c r="F1" t="s">
        <v>140</v>
      </c>
      <c r="G1" t="s">
        <v>150</v>
      </c>
      <c r="H1" t="s">
        <v>151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[1]Sheet1!I6</f>
        <v>2</v>
      </c>
      <c r="B2">
        <f>[1]Sheet1!J6</f>
        <v>8</v>
      </c>
      <c r="C2" t="str">
        <f>[1]Sheet1!D6</f>
        <v>DAC_ADC_ADD_4_1</v>
      </c>
      <c r="D2" t="str">
        <f>[1]Sheet1!C6</f>
        <v>ADC</v>
      </c>
      <c r="E2">
        <f>A2*30+B2</f>
        <v>68</v>
      </c>
      <c r="F2">
        <f>[1]Sheet1!H6</f>
        <v>1</v>
      </c>
      <c r="G2" t="str">
        <f>[1]Sheet1!B6</f>
        <v>ADD4 1</v>
      </c>
      <c r="H2">
        <v>1</v>
      </c>
      <c r="I2">
        <f>MATCH($H2+30*I$1,$E$2:$E$105,0)</f>
        <v>6</v>
      </c>
      <c r="J2">
        <f>MATCH($H2+30*J$1,$E$2:$E$105,0)</f>
        <v>26</v>
      </c>
      <c r="K2">
        <f t="shared" ref="K2:AL11" si="0">MATCH($H2+30*K$1,$E$2:$E$105,0)</f>
        <v>43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[1]Sheet1!I7</f>
        <v>2</v>
      </c>
      <c r="B3">
        <f>[1]Sheet1!J7</f>
        <v>10</v>
      </c>
      <c r="C3" t="str">
        <f>[1]Sheet1!D7</f>
        <v>DAC_ADC_ADD_4_3</v>
      </c>
      <c r="D3" t="str">
        <f>[1]Sheet1!C7</f>
        <v>ADC</v>
      </c>
      <c r="E3">
        <f t="shared" ref="E3:E66" si="1">A3*30+B3</f>
        <v>70</v>
      </c>
      <c r="F3">
        <f>[1]Sheet1!H7</f>
        <v>1</v>
      </c>
      <c r="G3" t="str">
        <f>[1]Sheet1!B7</f>
        <v>ADD4 3</v>
      </c>
      <c r="H3">
        <v>2</v>
      </c>
      <c r="I3">
        <f>MATCH($H3+30*I$1,$E$2:$E$105,0)</f>
        <v>7</v>
      </c>
      <c r="J3">
        <f t="shared" ref="J3" si="2">MATCH($H3+30*J$1,$E$2:$E$105,0)</f>
        <v>28</v>
      </c>
      <c r="K3">
        <f t="shared" si="0"/>
        <v>44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[1]Sheet1!I8</f>
        <v>2</v>
      </c>
      <c r="B4">
        <f>[1]Sheet1!J8</f>
        <v>16</v>
      </c>
      <c r="C4" t="str">
        <f>[1]Sheet1!D8</f>
        <v>DIG_ADD_4_1</v>
      </c>
      <c r="D4" t="str">
        <f>[1]Sheet1!C8</f>
        <v>DIG_OUT</v>
      </c>
      <c r="E4">
        <f t="shared" si="1"/>
        <v>76</v>
      </c>
      <c r="F4">
        <f>[1]Sheet1!H8</f>
        <v>0</v>
      </c>
      <c r="G4" t="str">
        <f>[1]Sheet1!B8</f>
        <v>ADD4 5</v>
      </c>
      <c r="H4">
        <v>3</v>
      </c>
      <c r="I4">
        <f t="shared" ref="I4:X26" si="3">MATCH($H4+30*I$1,$E$2:$E$105,0)</f>
        <v>15</v>
      </c>
      <c r="J4">
        <f t="shared" si="3"/>
        <v>8</v>
      </c>
      <c r="K4">
        <f t="shared" si="3"/>
        <v>45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[1]Sheet1!I9</f>
        <v>2</v>
      </c>
      <c r="B5">
        <f>[1]Sheet1!J9</f>
        <v>18</v>
      </c>
      <c r="C5" t="str">
        <f>[1]Sheet1!D9</f>
        <v>DIG_ADD_4_3</v>
      </c>
      <c r="D5" t="str">
        <f>[1]Sheet1!C9</f>
        <v>DIG_OUT</v>
      </c>
      <c r="E5">
        <f t="shared" si="1"/>
        <v>78</v>
      </c>
      <c r="F5">
        <f>[1]Sheet1!H9</f>
        <v>0</v>
      </c>
      <c r="G5" t="str">
        <f>[1]Sheet1!B9</f>
        <v>ADD4 7</v>
      </c>
      <c r="H5">
        <v>4</v>
      </c>
      <c r="I5" t="e">
        <f t="shared" si="3"/>
        <v>#N/A</v>
      </c>
      <c r="J5">
        <f t="shared" si="3"/>
        <v>29</v>
      </c>
      <c r="K5">
        <f t="shared" si="0"/>
        <v>46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[1]Sheet1!I10</f>
        <v>0</v>
      </c>
      <c r="B6">
        <f>[1]Sheet1!J10</f>
        <v>0</v>
      </c>
      <c r="C6">
        <f>[1]Sheet1!D10</f>
        <v>0</v>
      </c>
      <c r="D6" t="str">
        <f>[1]Sheet1!C10</f>
        <v>PWR</v>
      </c>
      <c r="E6">
        <f t="shared" si="1"/>
        <v>0</v>
      </c>
      <c r="F6">
        <f>[1]Sheet1!H10</f>
        <v>0</v>
      </c>
      <c r="G6" t="str">
        <f>[1]Sheet1!B10</f>
        <v>GND</v>
      </c>
      <c r="H6">
        <v>5</v>
      </c>
      <c r="I6">
        <f t="shared" si="3"/>
        <v>36</v>
      </c>
      <c r="J6">
        <f t="shared" si="3"/>
        <v>9</v>
      </c>
      <c r="K6">
        <f t="shared" si="0"/>
        <v>47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[1]Sheet1!I11</f>
        <v>1</v>
      </c>
      <c r="B7">
        <f>[1]Sheet1!J11</f>
        <v>1</v>
      </c>
      <c r="C7" t="str">
        <f>[1]Sheet1!D11</f>
        <v>DIG_ADD_0</v>
      </c>
      <c r="D7" t="str">
        <f>[1]Sheet1!C11</f>
        <v>DIG_IN</v>
      </c>
      <c r="E7">
        <f t="shared" si="1"/>
        <v>31</v>
      </c>
      <c r="F7">
        <f>[1]Sheet1!H11</f>
        <v>0</v>
      </c>
      <c r="G7" t="str">
        <f>[1]Sheet1!B11</f>
        <v>ADD3 0</v>
      </c>
      <c r="H7">
        <v>6</v>
      </c>
      <c r="I7" t="e">
        <f t="shared" si="3"/>
        <v>#N/A</v>
      </c>
      <c r="J7">
        <f t="shared" si="3"/>
        <v>30</v>
      </c>
      <c r="K7">
        <f t="shared" si="0"/>
        <v>48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[1]Sheet1!I12</f>
        <v>1</v>
      </c>
      <c r="B8">
        <f>[1]Sheet1!J12</f>
        <v>2</v>
      </c>
      <c r="C8" t="str">
        <f>[1]Sheet1!D12</f>
        <v>DIG_ADD_2</v>
      </c>
      <c r="D8" t="str">
        <f>[1]Sheet1!C12</f>
        <v>DIG_IN</v>
      </c>
      <c r="E8">
        <f t="shared" si="1"/>
        <v>32</v>
      </c>
      <c r="F8">
        <f>[1]Sheet1!H12</f>
        <v>0</v>
      </c>
      <c r="G8" t="str">
        <f>[1]Sheet1!B12</f>
        <v>ADD3 2</v>
      </c>
      <c r="H8">
        <v>7</v>
      </c>
      <c r="I8">
        <f t="shared" si="3"/>
        <v>17</v>
      </c>
      <c r="J8">
        <f t="shared" si="3"/>
        <v>22</v>
      </c>
      <c r="K8">
        <f t="shared" si="0"/>
        <v>49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[1]Sheet1!I13</f>
        <v>2</v>
      </c>
      <c r="B9">
        <f>[1]Sheet1!J13</f>
        <v>3</v>
      </c>
      <c r="C9" t="str">
        <f>[1]Sheet1!D13</f>
        <v>ADC_ADC_0</v>
      </c>
      <c r="D9" t="str">
        <f>[1]Sheet1!C13</f>
        <v>ADC</v>
      </c>
      <c r="E9">
        <f t="shared" si="1"/>
        <v>63</v>
      </c>
      <c r="F9">
        <f>[1]Sheet1!H13</f>
        <v>1</v>
      </c>
      <c r="G9" t="str">
        <f>[1]Sheet1!B13</f>
        <v>ADC/P0</v>
      </c>
      <c r="H9">
        <v>8</v>
      </c>
      <c r="I9" t="e">
        <f t="shared" si="3"/>
        <v>#N/A</v>
      </c>
      <c r="J9">
        <f t="shared" si="3"/>
        <v>1</v>
      </c>
      <c r="K9">
        <f t="shared" si="0"/>
        <v>50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[1]Sheet1!I14</f>
        <v>2</v>
      </c>
      <c r="B10">
        <f>[1]Sheet1!J14</f>
        <v>5</v>
      </c>
      <c r="C10" t="str">
        <f>[1]Sheet1!D14</f>
        <v>ADC_ADC_2</v>
      </c>
      <c r="D10" t="str">
        <f>[1]Sheet1!C14</f>
        <v>ADC</v>
      </c>
      <c r="E10">
        <f t="shared" si="1"/>
        <v>65</v>
      </c>
      <c r="F10">
        <f>[1]Sheet1!H14</f>
        <v>1</v>
      </c>
      <c r="G10" t="str">
        <f>[1]Sheet1!B14</f>
        <v>ADC/P2</v>
      </c>
      <c r="H10">
        <v>9</v>
      </c>
      <c r="I10">
        <f t="shared" si="3"/>
        <v>39</v>
      </c>
      <c r="J10">
        <f t="shared" si="3"/>
        <v>23</v>
      </c>
      <c r="K10">
        <f t="shared" si="0"/>
        <v>51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[1]Sheet1!I15</f>
        <v>2</v>
      </c>
      <c r="B11">
        <f>[1]Sheet1!J15</f>
        <v>11</v>
      </c>
      <c r="C11" t="str">
        <f>[1]Sheet1!D15</f>
        <v>DIG_DG_0</v>
      </c>
      <c r="D11" t="str">
        <f>[1]Sheet1!C15</f>
        <v>DIG_OUT</v>
      </c>
      <c r="E11">
        <f t="shared" si="1"/>
        <v>71</v>
      </c>
      <c r="F11">
        <f>[1]Sheet1!H15</f>
        <v>0</v>
      </c>
      <c r="G11" t="str">
        <f>[1]Sheet1!B15</f>
        <v>DG0/GNDI</v>
      </c>
      <c r="H11">
        <v>10</v>
      </c>
      <c r="I11" t="e">
        <f t="shared" si="3"/>
        <v>#N/A</v>
      </c>
      <c r="J11">
        <f t="shared" si="3"/>
        <v>2</v>
      </c>
      <c r="K11" t="e">
        <f t="shared" si="0"/>
        <v>#N/A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[1]Sheet1!I16</f>
        <v>1</v>
      </c>
      <c r="B12">
        <f>[1]Sheet1!J16</f>
        <v>1</v>
      </c>
      <c r="C12" t="str">
        <f>[1]Sheet1!D16</f>
        <v>ILDBM_set</v>
      </c>
      <c r="D12" t="str">
        <f>[1]Sheet1!C16</f>
        <v>ADC</v>
      </c>
      <c r="E12">
        <f t="shared" si="1"/>
        <v>31</v>
      </c>
      <c r="F12">
        <f>[1]Sheet1!H16</f>
        <v>1</v>
      </c>
      <c r="G12" t="str">
        <f>[1]Sheet1!B16</f>
        <v>ADC/P5</v>
      </c>
      <c r="H12">
        <v>11</v>
      </c>
      <c r="I12">
        <f t="shared" si="3"/>
        <v>18</v>
      </c>
      <c r="J12">
        <f t="shared" si="3"/>
        <v>10</v>
      </c>
      <c r="K12">
        <f t="shared" si="3"/>
        <v>52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[1]Sheet1!I17</f>
        <v>2</v>
      </c>
      <c r="B13">
        <f>[1]Sheet1!J17</f>
        <v>13</v>
      </c>
      <c r="C13" t="str">
        <f>[1]Sheet1!D17</f>
        <v>DIG_DG_2</v>
      </c>
      <c r="D13" t="str">
        <f>[1]Sheet1!C17</f>
        <v>DIG_OUT</v>
      </c>
      <c r="E13">
        <f t="shared" si="1"/>
        <v>73</v>
      </c>
      <c r="F13">
        <f>[1]Sheet1!H17</f>
        <v>0</v>
      </c>
      <c r="G13" t="str">
        <f>[1]Sheet1!B17</f>
        <v>DG2/STATUS</v>
      </c>
      <c r="H13">
        <v>12</v>
      </c>
      <c r="I13" t="e">
        <f t="shared" si="3"/>
        <v>#N/A</v>
      </c>
      <c r="J13">
        <f t="shared" si="3"/>
        <v>33</v>
      </c>
      <c r="K13" t="e">
        <f t="shared" si="3"/>
        <v>#N/A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[1]Sheet1!I18</f>
        <v>0</v>
      </c>
      <c r="B14">
        <f>[1]Sheet1!J18</f>
        <v>0</v>
      </c>
      <c r="C14">
        <f>[1]Sheet1!D18</f>
        <v>0</v>
      </c>
      <c r="D14" t="str">
        <f>[1]Sheet1!C18</f>
        <v>PWR</v>
      </c>
      <c r="E14">
        <f t="shared" si="1"/>
        <v>0</v>
      </c>
      <c r="F14">
        <f>[1]Sheet1!H18</f>
        <v>0</v>
      </c>
      <c r="G14" t="str">
        <f>[1]Sheet1!B18</f>
        <v>+3VDI</v>
      </c>
      <c r="H14">
        <v>13</v>
      </c>
      <c r="I14">
        <f t="shared" si="3"/>
        <v>40</v>
      </c>
      <c r="J14">
        <f t="shared" si="3"/>
        <v>12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[1]Sheet1!I19</f>
        <v>0</v>
      </c>
      <c r="B15">
        <f>[1]Sheet1!J19</f>
        <v>0</v>
      </c>
      <c r="C15">
        <f>[1]Sheet1!D19</f>
        <v>0</v>
      </c>
      <c r="D15" t="str">
        <f>[1]Sheet1!C19</f>
        <v>PWR</v>
      </c>
      <c r="E15">
        <f t="shared" si="1"/>
        <v>0</v>
      </c>
      <c r="F15">
        <f>[1]Sheet1!H19</f>
        <v>0</v>
      </c>
      <c r="G15" t="str">
        <f>[1]Sheet1!B19</f>
        <v>GNDI</v>
      </c>
      <c r="H15">
        <v>14</v>
      </c>
      <c r="I15" t="e">
        <f t="shared" si="3"/>
        <v>#N/A</v>
      </c>
      <c r="J15">
        <f t="shared" si="3"/>
        <v>34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[1]Sheet1!I20</f>
        <v>1</v>
      </c>
      <c r="B16">
        <f>[1]Sheet1!J20</f>
        <v>3</v>
      </c>
      <c r="C16" t="str">
        <f>[1]Sheet1!D20</f>
        <v>I_LD</v>
      </c>
      <c r="D16" t="str">
        <f>[1]Sheet1!C20</f>
        <v>DAC</v>
      </c>
      <c r="E16">
        <f t="shared" si="1"/>
        <v>33</v>
      </c>
      <c r="F16">
        <f>[1]Sheet1!H20</f>
        <v>0</v>
      </c>
      <c r="G16" t="str">
        <f>[1]Sheet1!B20</f>
        <v>ADD1 0</v>
      </c>
      <c r="H16">
        <v>15</v>
      </c>
      <c r="I16">
        <f t="shared" si="3"/>
        <v>41</v>
      </c>
      <c r="J16">
        <f t="shared" si="3"/>
        <v>24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[1]Sheet1!I21</f>
        <v>0</v>
      </c>
      <c r="B17">
        <f>[1]Sheet1!J21</f>
        <v>0</v>
      </c>
      <c r="C17">
        <f>[1]Sheet1!D21</f>
        <v>0</v>
      </c>
      <c r="D17" t="str">
        <f>[1]Sheet1!C21</f>
        <v>PWR</v>
      </c>
      <c r="E17">
        <f t="shared" si="1"/>
        <v>0</v>
      </c>
      <c r="F17">
        <f>[1]Sheet1!H21</f>
        <v>0</v>
      </c>
      <c r="G17" t="str">
        <f>[1]Sheet1!B21</f>
        <v>GND_IN</v>
      </c>
      <c r="H17">
        <v>16</v>
      </c>
      <c r="I17" t="e">
        <f t="shared" si="3"/>
        <v>#N/A</v>
      </c>
      <c r="J17">
        <f t="shared" si="3"/>
        <v>3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[1]Sheet1!I22</f>
        <v>1</v>
      </c>
      <c r="B18">
        <f>[1]Sheet1!J22</f>
        <v>7</v>
      </c>
      <c r="C18" t="str">
        <f>[1]Sheet1!D22</f>
        <v>DAC_ADC_1_2</v>
      </c>
      <c r="D18" t="str">
        <f>[1]Sheet1!C22</f>
        <v>DAC</v>
      </c>
      <c r="E18">
        <f t="shared" si="1"/>
        <v>37</v>
      </c>
      <c r="F18">
        <f>[1]Sheet1!H22</f>
        <v>1</v>
      </c>
      <c r="G18" t="str">
        <f>[1]Sheet1!B22</f>
        <v>ADD1 2</v>
      </c>
      <c r="H18">
        <v>17</v>
      </c>
      <c r="I18">
        <f t="shared" si="3"/>
        <v>20</v>
      </c>
      <c r="J18">
        <f t="shared" si="3"/>
        <v>25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[1]Sheet1!I23</f>
        <v>1</v>
      </c>
      <c r="B19">
        <f>[1]Sheet1!J23</f>
        <v>11</v>
      </c>
      <c r="C19" t="str">
        <f>[1]Sheet1!D23</f>
        <v>DAC_ADC_2_0</v>
      </c>
      <c r="D19" t="str">
        <f>[1]Sheet1!C23</f>
        <v>DAC</v>
      </c>
      <c r="E19">
        <f t="shared" si="1"/>
        <v>41</v>
      </c>
      <c r="F19">
        <f>[1]Sheet1!H23</f>
        <v>1</v>
      </c>
      <c r="G19" t="str">
        <f>[1]Sheet1!B23</f>
        <v>ADD1 4</v>
      </c>
      <c r="H19">
        <v>18</v>
      </c>
      <c r="I19" t="e">
        <f t="shared" si="3"/>
        <v>#N/A</v>
      </c>
      <c r="J19">
        <f t="shared" si="3"/>
        <v>4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[1]Sheet1!I24</f>
        <v>0</v>
      </c>
      <c r="B20">
        <f>[1]Sheet1!J24</f>
        <v>0</v>
      </c>
      <c r="C20">
        <f>[1]Sheet1!D24</f>
        <v>0</v>
      </c>
      <c r="D20" t="str">
        <f>[1]Sheet1!C24</f>
        <v>PWR</v>
      </c>
      <c r="E20">
        <f t="shared" si="1"/>
        <v>0</v>
      </c>
      <c r="F20">
        <f>[1]Sheet1!H24</f>
        <v>0</v>
      </c>
      <c r="G20" t="str">
        <f>[1]Sheet1!B24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[1]Sheet1!I25</f>
        <v>1</v>
      </c>
      <c r="B21">
        <f>[1]Sheet1!J25</f>
        <v>17</v>
      </c>
      <c r="C21" t="str">
        <f>[1]Sheet1!D25</f>
        <v>DAC_ADC_2_3</v>
      </c>
      <c r="D21" t="str">
        <f>[1]Sheet1!C25</f>
        <v>DAC</v>
      </c>
      <c r="E21">
        <f t="shared" si="1"/>
        <v>47</v>
      </c>
      <c r="F21">
        <f>[1]Sheet1!H25</f>
        <v>1</v>
      </c>
      <c r="G21" t="str">
        <f>[1]Sheet1!B25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[1]Sheet1!I26</f>
        <v>0</v>
      </c>
      <c r="B22">
        <f>[1]Sheet1!J26</f>
        <v>0</v>
      </c>
      <c r="C22">
        <f>[1]Sheet1!D26</f>
        <v>0</v>
      </c>
      <c r="D22">
        <f>[1]Sheet1!C26</f>
        <v>0</v>
      </c>
      <c r="E22">
        <f t="shared" si="1"/>
        <v>0</v>
      </c>
      <c r="F22">
        <f>[1]Sheet1!H26</f>
        <v>0</v>
      </c>
      <c r="G22">
        <f>[1]Sheet1!B26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[1]Sheet1!I27</f>
        <v>2</v>
      </c>
      <c r="B23">
        <f>[1]Sheet1!J27</f>
        <v>7</v>
      </c>
      <c r="C23" t="str">
        <f>[1]Sheet1!D27</f>
        <v>DAC_ADC_ADD_4_0</v>
      </c>
      <c r="D23" t="str">
        <f>[1]Sheet1!C27</f>
        <v>ADC</v>
      </c>
      <c r="E23">
        <f t="shared" si="1"/>
        <v>67</v>
      </c>
      <c r="F23">
        <f>[1]Sheet1!H27</f>
        <v>1</v>
      </c>
      <c r="G23" t="str">
        <f>[1]Sheet1!B27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[1]Sheet1!I28</f>
        <v>2</v>
      </c>
      <c r="B24">
        <f>[1]Sheet1!J28</f>
        <v>9</v>
      </c>
      <c r="C24" t="str">
        <f>[1]Sheet1!D28</f>
        <v>DAC_ADC_ADD_4_2</v>
      </c>
      <c r="D24" t="str">
        <f>[1]Sheet1!C28</f>
        <v>ADC</v>
      </c>
      <c r="E24">
        <f t="shared" si="1"/>
        <v>69</v>
      </c>
      <c r="F24">
        <f>[1]Sheet1!H28</f>
        <v>1</v>
      </c>
      <c r="G24" t="str">
        <f>[1]Sheet1!B28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[1]Sheet1!I29</f>
        <v>2</v>
      </c>
      <c r="B25">
        <f>[1]Sheet1!J29</f>
        <v>15</v>
      </c>
      <c r="C25" t="str">
        <f>[1]Sheet1!D29</f>
        <v>DIG_ADD_4_0</v>
      </c>
      <c r="D25" t="str">
        <f>[1]Sheet1!C29</f>
        <v>DIG_OUT</v>
      </c>
      <c r="E25">
        <f t="shared" si="1"/>
        <v>75</v>
      </c>
      <c r="F25">
        <f>[1]Sheet1!H29</f>
        <v>0</v>
      </c>
      <c r="G25" t="str">
        <f>[1]Sheet1!B29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[1]Sheet1!I30</f>
        <v>2</v>
      </c>
      <c r="B26">
        <f>[1]Sheet1!J30</f>
        <v>17</v>
      </c>
      <c r="C26" t="str">
        <f>[1]Sheet1!D30</f>
        <v>DIG_ADD_4_2</v>
      </c>
      <c r="D26" t="str">
        <f>[1]Sheet1!C30</f>
        <v>DIG_OUT</v>
      </c>
      <c r="E26">
        <f t="shared" si="1"/>
        <v>77</v>
      </c>
      <c r="F26">
        <f>[1]Sheet1!H30</f>
        <v>0</v>
      </c>
      <c r="G26" t="str">
        <f>[1]Sheet1!B30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[1]Sheet1!I31</f>
        <v>2</v>
      </c>
      <c r="B27">
        <f>[1]Sheet1!J31</f>
        <v>1</v>
      </c>
      <c r="C27" t="str">
        <f>[1]Sheet1!D31</f>
        <v>DIG_ADD_1</v>
      </c>
      <c r="D27" t="str">
        <f>[1]Sheet1!C31</f>
        <v>DIG_IN</v>
      </c>
      <c r="E27">
        <f t="shared" si="1"/>
        <v>61</v>
      </c>
      <c r="F27">
        <f>[1]Sheet1!H31</f>
        <v>0</v>
      </c>
      <c r="G27" t="str">
        <f>[1]Sheet1!B31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[1]Sheet1!I32</f>
        <v>0</v>
      </c>
      <c r="B28">
        <f>[1]Sheet1!J32</f>
        <v>0</v>
      </c>
      <c r="C28">
        <f>[1]Sheet1!D32</f>
        <v>0</v>
      </c>
      <c r="D28" t="str">
        <f>[1]Sheet1!C32</f>
        <v>PWR</v>
      </c>
      <c r="E28">
        <f t="shared" si="1"/>
        <v>0</v>
      </c>
      <c r="F28">
        <f>[1]Sheet1!H32</f>
        <v>0</v>
      </c>
      <c r="G28" t="str">
        <f>[1]Sheet1!B32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[1]Sheet1!I33</f>
        <v>2</v>
      </c>
      <c r="B29">
        <f>[1]Sheet1!J33</f>
        <v>2</v>
      </c>
      <c r="C29" t="str">
        <f>[1]Sheet1!D33</f>
        <v>DIG_ADD3</v>
      </c>
      <c r="D29" t="str">
        <f>[1]Sheet1!C33</f>
        <v>DIG_IN</v>
      </c>
      <c r="E29">
        <f t="shared" si="1"/>
        <v>62</v>
      </c>
      <c r="F29">
        <f>[1]Sheet1!H33</f>
        <v>0</v>
      </c>
      <c r="G29" t="str">
        <f>[1]Sheet1!B33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[1]Sheet1!I34</f>
        <v>2</v>
      </c>
      <c r="B30">
        <f>[1]Sheet1!J34</f>
        <v>4</v>
      </c>
      <c r="C30" t="str">
        <f>[1]Sheet1!D34</f>
        <v>ADC_ADC_1</v>
      </c>
      <c r="D30" t="str">
        <f>[1]Sheet1!C34</f>
        <v>ADC</v>
      </c>
      <c r="E30">
        <f t="shared" si="1"/>
        <v>64</v>
      </c>
      <c r="F30">
        <f>[1]Sheet1!H34</f>
        <v>1</v>
      </c>
      <c r="G30" t="str">
        <f>[1]Sheet1!B34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[1]Sheet1!I35</f>
        <v>2</v>
      </c>
      <c r="B31">
        <f>[1]Sheet1!J35</f>
        <v>6</v>
      </c>
      <c r="C31" t="str">
        <f>[1]Sheet1!D35</f>
        <v>ADC_ADC_3</v>
      </c>
      <c r="D31" t="str">
        <f>[1]Sheet1!C35</f>
        <v>ADC</v>
      </c>
      <c r="E31">
        <f t="shared" si="1"/>
        <v>66</v>
      </c>
      <c r="F31">
        <f>[1]Sheet1!H35</f>
        <v>1</v>
      </c>
      <c r="G31" t="str">
        <f>[1]Sheet1!B35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[1]Sheet1!I36</f>
        <v>1</v>
      </c>
      <c r="B32">
        <f>[1]Sheet1!J36</f>
        <v>1</v>
      </c>
      <c r="C32" t="str">
        <f>[1]Sheet1!D36</f>
        <v>ILDM</v>
      </c>
      <c r="D32" t="str">
        <f>[1]Sheet1!C36</f>
        <v>ADC</v>
      </c>
      <c r="E32">
        <f t="shared" si="1"/>
        <v>31</v>
      </c>
      <c r="F32">
        <f>[1]Sheet1!H36</f>
        <v>1</v>
      </c>
      <c r="G32" t="str">
        <f>[1]Sheet1!B36</f>
        <v>ADC/P4</v>
      </c>
    </row>
    <row r="33" spans="1:7" x14ac:dyDescent="0.25">
      <c r="A33">
        <f>[1]Sheet1!I37</f>
        <v>1</v>
      </c>
      <c r="B33">
        <f>[1]Sheet1!J37</f>
        <v>1</v>
      </c>
      <c r="C33" t="str">
        <f>[1]Sheet1!D37</f>
        <v>GND</v>
      </c>
      <c r="D33" t="str">
        <f>[1]Sheet1!C37</f>
        <v>ADC</v>
      </c>
      <c r="E33">
        <f t="shared" si="1"/>
        <v>31</v>
      </c>
      <c r="F33">
        <f>[1]Sheet1!H37</f>
        <v>1</v>
      </c>
      <c r="G33" t="str">
        <f>[1]Sheet1!B37</f>
        <v>ADC/P6</v>
      </c>
    </row>
    <row r="34" spans="1:7" x14ac:dyDescent="0.25">
      <c r="A34">
        <f>[1]Sheet1!I38</f>
        <v>2</v>
      </c>
      <c r="B34">
        <f>[1]Sheet1!J38</f>
        <v>12</v>
      </c>
      <c r="C34" t="str">
        <f>[1]Sheet1!D38</f>
        <v>DIG_DG_1</v>
      </c>
      <c r="D34" t="str">
        <f>[1]Sheet1!C38</f>
        <v>DIG_OUT</v>
      </c>
      <c r="E34">
        <f t="shared" si="1"/>
        <v>72</v>
      </c>
      <c r="F34">
        <f>[1]Sheet1!H38</f>
        <v>0</v>
      </c>
      <c r="G34" t="str">
        <f>[1]Sheet1!B38</f>
        <v>DG1/INTERLOCK3 4</v>
      </c>
    </row>
    <row r="35" spans="1:7" x14ac:dyDescent="0.25">
      <c r="A35">
        <f>[1]Sheet1!I39</f>
        <v>2</v>
      </c>
      <c r="B35">
        <f>[1]Sheet1!J39</f>
        <v>14</v>
      </c>
      <c r="C35" t="str">
        <f>[1]Sheet1!D39</f>
        <v>DIG_DG_3</v>
      </c>
      <c r="D35" t="str">
        <f>[1]Sheet1!C39</f>
        <v>DIG_OUT</v>
      </c>
      <c r="E35">
        <f t="shared" si="1"/>
        <v>74</v>
      </c>
      <c r="F35">
        <f>[1]Sheet1!H39</f>
        <v>0</v>
      </c>
      <c r="G35" t="str">
        <f>[1]Sheet1!B39</f>
        <v>ON2/DG3</v>
      </c>
    </row>
    <row r="36" spans="1:7" x14ac:dyDescent="0.25">
      <c r="A36">
        <f>[1]Sheet1!I40</f>
        <v>1</v>
      </c>
      <c r="B36">
        <f>[1]Sheet1!J40</f>
        <v>1</v>
      </c>
      <c r="C36" t="str">
        <f>[1]Sheet1!D40</f>
        <v>PULSE1</v>
      </c>
      <c r="D36" t="str">
        <f>[1]Sheet1!C40</f>
        <v>DIG_IN</v>
      </c>
      <c r="E36">
        <f t="shared" si="1"/>
        <v>31</v>
      </c>
      <c r="F36">
        <f>[1]Sheet1!H40</f>
        <v>1</v>
      </c>
      <c r="G36" t="str">
        <f>[1]Sheet1!B40</f>
        <v>PULSE2/DG4</v>
      </c>
    </row>
    <row r="37" spans="1:7" x14ac:dyDescent="0.25">
      <c r="A37">
        <f>[1]Sheet1!I41</f>
        <v>1</v>
      </c>
      <c r="B37">
        <f>[1]Sheet1!J41</f>
        <v>5</v>
      </c>
      <c r="C37" t="str">
        <f>[1]Sheet1!D41</f>
        <v>DAC_ADC_1_1</v>
      </c>
      <c r="D37" t="str">
        <f>[1]Sheet1!C41</f>
        <v>DAC</v>
      </c>
      <c r="E37">
        <f t="shared" si="1"/>
        <v>35</v>
      </c>
      <c r="F37">
        <f>[1]Sheet1!H41</f>
        <v>1</v>
      </c>
      <c r="G37" t="str">
        <f>[1]Sheet1!B41</f>
        <v>ADD1 1</v>
      </c>
    </row>
    <row r="38" spans="1:7" x14ac:dyDescent="0.25">
      <c r="A38">
        <f>[1]Sheet1!I42</f>
        <v>0</v>
      </c>
      <c r="B38">
        <f>[1]Sheet1!J42</f>
        <v>0</v>
      </c>
      <c r="C38">
        <f>[1]Sheet1!D42</f>
        <v>0</v>
      </c>
      <c r="D38" t="str">
        <f>[1]Sheet1!C42</f>
        <v>PWR</v>
      </c>
      <c r="E38">
        <f t="shared" si="1"/>
        <v>0</v>
      </c>
      <c r="F38">
        <f>[1]Sheet1!H42</f>
        <v>0</v>
      </c>
      <c r="G38" t="str">
        <f>[1]Sheet1!B42</f>
        <v>+12VI1</v>
      </c>
    </row>
    <row r="39" spans="1:7" x14ac:dyDescent="0.25">
      <c r="A39">
        <f>[1]Sheet1!I43</f>
        <v>0</v>
      </c>
      <c r="B39">
        <f>[1]Sheet1!J43</f>
        <v>0</v>
      </c>
      <c r="C39">
        <f>[1]Sheet1!D43</f>
        <v>0</v>
      </c>
      <c r="D39" t="str">
        <f>[1]Sheet1!C43</f>
        <v>PWR</v>
      </c>
      <c r="E39">
        <f t="shared" si="1"/>
        <v>0</v>
      </c>
      <c r="F39">
        <f>[1]Sheet1!H43</f>
        <v>0</v>
      </c>
      <c r="G39" t="str">
        <f>[1]Sheet1!B43</f>
        <v>GND</v>
      </c>
    </row>
    <row r="40" spans="1:7" x14ac:dyDescent="0.25">
      <c r="A40">
        <f>[1]Sheet1!I44</f>
        <v>1</v>
      </c>
      <c r="B40">
        <f>[1]Sheet1!J44</f>
        <v>9</v>
      </c>
      <c r="C40" t="str">
        <f>[1]Sheet1!D44</f>
        <v>DAC_ADC_1_3</v>
      </c>
      <c r="D40" t="str">
        <f>[1]Sheet1!C44</f>
        <v>DAC</v>
      </c>
      <c r="E40">
        <f t="shared" si="1"/>
        <v>39</v>
      </c>
      <c r="F40">
        <f>[1]Sheet1!H44</f>
        <v>1</v>
      </c>
      <c r="G40" t="str">
        <f>[1]Sheet1!B44</f>
        <v>ADD1 3</v>
      </c>
    </row>
    <row r="41" spans="1:7" x14ac:dyDescent="0.25">
      <c r="A41">
        <f>[1]Sheet1!I45</f>
        <v>1</v>
      </c>
      <c r="B41">
        <f>[1]Sheet1!J45</f>
        <v>13</v>
      </c>
      <c r="C41" t="str">
        <f>[1]Sheet1!D45</f>
        <v>DAC_ADC_2_1</v>
      </c>
      <c r="D41" t="str">
        <f>[1]Sheet1!C45</f>
        <v>DAC</v>
      </c>
      <c r="E41">
        <f t="shared" si="1"/>
        <v>43</v>
      </c>
      <c r="F41">
        <f>[1]Sheet1!H45</f>
        <v>1</v>
      </c>
      <c r="G41" t="str">
        <f>[1]Sheet1!B45</f>
        <v>ADD1 5</v>
      </c>
    </row>
    <row r="42" spans="1:7" x14ac:dyDescent="0.25">
      <c r="A42">
        <f>[1]Sheet1!I46</f>
        <v>1</v>
      </c>
      <c r="B42">
        <f>[1]Sheet1!J46</f>
        <v>15</v>
      </c>
      <c r="C42" t="str">
        <f>[1]Sheet1!D46</f>
        <v>DAC_ADC_2_2</v>
      </c>
      <c r="D42" t="str">
        <f>[1]Sheet1!C46</f>
        <v>DAC</v>
      </c>
      <c r="E42">
        <f t="shared" si="1"/>
        <v>45</v>
      </c>
      <c r="F42">
        <f>[1]Sheet1!H46</f>
        <v>1</v>
      </c>
      <c r="G42" t="str">
        <f>[1]Sheet1!B46</f>
        <v>ADD1 6</v>
      </c>
    </row>
    <row r="43" spans="1:7" x14ac:dyDescent="0.25">
      <c r="A43">
        <f>[1]Sheet1!I47</f>
        <v>0</v>
      </c>
      <c r="B43">
        <f>[1]Sheet1!J47</f>
        <v>0</v>
      </c>
      <c r="C43">
        <f>[1]Sheet1!D47</f>
        <v>0</v>
      </c>
      <c r="D43">
        <f>[1]Sheet1!C47</f>
        <v>0</v>
      </c>
      <c r="E43">
        <f t="shared" si="1"/>
        <v>0</v>
      </c>
      <c r="F43">
        <f>[1]Sheet1!H47</f>
        <v>0</v>
      </c>
      <c r="G43" t="str">
        <f>[1]Sheet1!B47</f>
        <v>none</v>
      </c>
    </row>
    <row r="44" spans="1:7" x14ac:dyDescent="0.25">
      <c r="A44">
        <f>[1]Sheet1!I48</f>
        <v>3</v>
      </c>
      <c r="B44">
        <f>[1]Sheet1!J48</f>
        <v>1</v>
      </c>
      <c r="C44" t="str">
        <f>[1]Sheet1!D48</f>
        <v>PS_ON</v>
      </c>
      <c r="D44" t="str">
        <f>[1]Sheet1!C48</f>
        <v>DIG_OUT</v>
      </c>
      <c r="E44">
        <f t="shared" si="1"/>
        <v>91</v>
      </c>
      <c r="F44">
        <f>[1]Sheet1!H48</f>
        <v>0</v>
      </c>
      <c r="G44" t="str">
        <f>[1]Sheet1!B48</f>
        <v>DG7</v>
      </c>
    </row>
    <row r="45" spans="1:7" x14ac:dyDescent="0.25">
      <c r="A45">
        <f>[1]Sheet1!I49</f>
        <v>3</v>
      </c>
      <c r="B45">
        <f>[1]Sheet1!J49</f>
        <v>2</v>
      </c>
      <c r="C45" t="str">
        <f>[1]Sheet1!D49</f>
        <v>STATUS_CON_EN_n</v>
      </c>
      <c r="D45" t="str">
        <f>[1]Sheet1!C49</f>
        <v>DIG_OUT</v>
      </c>
      <c r="E45">
        <f t="shared" si="1"/>
        <v>92</v>
      </c>
      <c r="F45">
        <f>[1]Sheet1!H49</f>
        <v>0</v>
      </c>
      <c r="G45" t="str">
        <f>[1]Sheet1!B49</f>
        <v>DG8</v>
      </c>
    </row>
    <row r="46" spans="1:7" x14ac:dyDescent="0.25">
      <c r="A46">
        <f>[1]Sheet1!I50</f>
        <v>3</v>
      </c>
      <c r="B46">
        <f>[1]Sheet1!J50</f>
        <v>3</v>
      </c>
      <c r="C46" t="str">
        <f>[1]Sheet1!D50</f>
        <v>INTRLCK_CON_EN_n</v>
      </c>
      <c r="D46" t="str">
        <f>[1]Sheet1!C50</f>
        <v>DIG_OUT</v>
      </c>
      <c r="E46">
        <f t="shared" si="1"/>
        <v>93</v>
      </c>
      <c r="F46">
        <f>[1]Sheet1!H50</f>
        <v>0</v>
      </c>
      <c r="G46" t="str">
        <f>[1]Sheet1!B50</f>
        <v>DG9</v>
      </c>
    </row>
    <row r="47" spans="1:7" x14ac:dyDescent="0.25">
      <c r="A47">
        <f>[1]Sheet1!I51</f>
        <v>3</v>
      </c>
      <c r="B47">
        <f>[1]Sheet1!J51</f>
        <v>4</v>
      </c>
      <c r="C47" t="str">
        <f>[1]Sheet1!D51</f>
        <v>ON2/IN11-OE_n</v>
      </c>
      <c r="D47" t="str">
        <f>[1]Sheet1!C51</f>
        <v>DIG_OUT</v>
      </c>
      <c r="E47">
        <f t="shared" si="1"/>
        <v>94</v>
      </c>
      <c r="F47">
        <f>[1]Sheet1!H51</f>
        <v>0</v>
      </c>
      <c r="G47" t="str">
        <f>[1]Sheet1!B51</f>
        <v>DG10</v>
      </c>
    </row>
    <row r="48" spans="1:7" x14ac:dyDescent="0.25">
      <c r="A48">
        <f>[1]Sheet1!I52</f>
        <v>3</v>
      </c>
      <c r="B48">
        <f>[1]Sheet1!J52</f>
        <v>5</v>
      </c>
      <c r="C48" t="str">
        <f>[1]Sheet1!D52</f>
        <v>PULSE2/IN12-OE_n</v>
      </c>
      <c r="D48" t="str">
        <f>[1]Sheet1!C52</f>
        <v>DIG_OUT</v>
      </c>
      <c r="E48">
        <f t="shared" si="1"/>
        <v>95</v>
      </c>
      <c r="F48">
        <f>[1]Sheet1!H52</f>
        <v>0</v>
      </c>
      <c r="G48" t="str">
        <f>[1]Sheet1!B52</f>
        <v>DG11</v>
      </c>
    </row>
    <row r="49" spans="1:7" x14ac:dyDescent="0.25">
      <c r="A49">
        <f>[1]Sheet1!I53</f>
        <v>3</v>
      </c>
      <c r="B49">
        <f>[1]Sheet1!J53</f>
        <v>6</v>
      </c>
      <c r="C49" t="str">
        <f>[1]Sheet1!D53</f>
        <v>ISO_EN</v>
      </c>
      <c r="D49" t="str">
        <f>[1]Sheet1!C53</f>
        <v>DIG_OUT</v>
      </c>
      <c r="E49">
        <f t="shared" si="1"/>
        <v>96</v>
      </c>
      <c r="F49">
        <f>[1]Sheet1!H53</f>
        <v>0</v>
      </c>
      <c r="G49" t="str">
        <f>[1]Sheet1!B53</f>
        <v>DG12</v>
      </c>
    </row>
    <row r="50" spans="1:7" x14ac:dyDescent="0.25">
      <c r="A50">
        <f>[1]Sheet1!I54</f>
        <v>3</v>
      </c>
      <c r="B50">
        <f>[1]Sheet1!J54</f>
        <v>7</v>
      </c>
      <c r="C50" t="str">
        <f>[1]Sheet1!D54</f>
        <v>SW_CLK/BUSY</v>
      </c>
      <c r="D50" t="str">
        <f>[1]Sheet1!C54</f>
        <v>DIG_OUT</v>
      </c>
      <c r="E50">
        <f t="shared" si="1"/>
        <v>97</v>
      </c>
      <c r="F50">
        <f>[1]Sheet1!H54</f>
        <v>0</v>
      </c>
      <c r="G50" t="str">
        <f>[1]Sheet1!B54</f>
        <v>DG13</v>
      </c>
    </row>
    <row r="51" spans="1:7" x14ac:dyDescent="0.25">
      <c r="A51">
        <f>[1]Sheet1!I55</f>
        <v>3</v>
      </c>
      <c r="B51">
        <f>[1]Sheet1!J55</f>
        <v>8</v>
      </c>
      <c r="C51" t="str">
        <f>[1]Sheet1!D55</f>
        <v>I_module</v>
      </c>
      <c r="D51" t="str">
        <f>[1]Sheet1!C55</f>
        <v>ADC</v>
      </c>
      <c r="E51">
        <f t="shared" si="1"/>
        <v>98</v>
      </c>
      <c r="F51">
        <f>[1]Sheet1!H55</f>
        <v>0</v>
      </c>
      <c r="G51" t="str">
        <f>[1]Sheet1!B55</f>
        <v>ADC/P7</v>
      </c>
    </row>
    <row r="52" spans="1:7" x14ac:dyDescent="0.25">
      <c r="A52">
        <f>[1]Sheet1!I56</f>
        <v>3</v>
      </c>
      <c r="B52">
        <f>[1]Sheet1!J56</f>
        <v>9</v>
      </c>
      <c r="C52" t="str">
        <f>[1]Sheet1!D56</f>
        <v>INTR_LCK_delay</v>
      </c>
      <c r="D52" t="str">
        <f>[1]Sheet1!C56</f>
        <v>DAC</v>
      </c>
      <c r="E52">
        <f t="shared" si="1"/>
        <v>99</v>
      </c>
      <c r="F52">
        <f>[1]Sheet1!H56</f>
        <v>0</v>
      </c>
      <c r="G52" t="str">
        <f>[1]Sheet1!B56</f>
        <v>ADD3 4</v>
      </c>
    </row>
    <row r="53" spans="1:7" x14ac:dyDescent="0.25">
      <c r="A53">
        <f>[1]Sheet1!I57</f>
        <v>3</v>
      </c>
      <c r="B53">
        <f>[1]Sheet1!J57</f>
        <v>11</v>
      </c>
      <c r="C53" t="str">
        <f>[1]Sheet1!D57</f>
        <v>ILD_SW</v>
      </c>
      <c r="D53" t="str">
        <f>[1]Sheet1!C57</f>
        <v>DIG_OUT</v>
      </c>
      <c r="E53">
        <f t="shared" si="1"/>
        <v>101</v>
      </c>
      <c r="F53">
        <f>[1]Sheet1!H57</f>
        <v>0</v>
      </c>
      <c r="G53" t="str">
        <f>[1]Sheet1!B57</f>
        <v>DG14</v>
      </c>
    </row>
    <row r="54" spans="1:7" x14ac:dyDescent="0.25">
      <c r="A54">
        <f>[1]Sheet1!AG6</f>
        <v>0</v>
      </c>
      <c r="B54">
        <f>[1]Sheet1!AH6</f>
        <v>0</v>
      </c>
      <c r="C54">
        <f>[1]Sheet1!AI6</f>
        <v>0</v>
      </c>
      <c r="D54">
        <f>[1]Sheet1!AE6</f>
        <v>0</v>
      </c>
      <c r="E54">
        <f t="shared" si="1"/>
        <v>0</v>
      </c>
      <c r="F54">
        <f>[1]Sheet1!AF6</f>
        <v>0</v>
      </c>
      <c r="G54" t="str">
        <f>[1]Sheet1!B6</f>
        <v>ADD4 1</v>
      </c>
    </row>
    <row r="55" spans="1:7" x14ac:dyDescent="0.25">
      <c r="A55">
        <f>[1]Sheet1!AG7</f>
        <v>0</v>
      </c>
      <c r="B55">
        <f>[1]Sheet1!AH7</f>
        <v>0</v>
      </c>
      <c r="C55">
        <f>[1]Sheet1!AI7</f>
        <v>0</v>
      </c>
      <c r="D55">
        <f>[1]Sheet1!AE7</f>
        <v>0</v>
      </c>
      <c r="E55">
        <f t="shared" si="1"/>
        <v>0</v>
      </c>
      <c r="F55">
        <f>[1]Sheet1!AF7</f>
        <v>0</v>
      </c>
      <c r="G55" t="str">
        <f>[1]Sheet1!B7</f>
        <v>ADD4 3</v>
      </c>
    </row>
    <row r="56" spans="1:7" x14ac:dyDescent="0.25">
      <c r="A56">
        <f>[1]Sheet1!AG8</f>
        <v>0</v>
      </c>
      <c r="B56">
        <f>[1]Sheet1!AH8</f>
        <v>0</v>
      </c>
      <c r="C56">
        <f>[1]Sheet1!AI8</f>
        <v>0</v>
      </c>
      <c r="D56">
        <f>[1]Sheet1!AE8</f>
        <v>0</v>
      </c>
      <c r="E56">
        <f t="shared" si="1"/>
        <v>0</v>
      </c>
      <c r="F56">
        <f>[1]Sheet1!AF8</f>
        <v>0</v>
      </c>
      <c r="G56" t="str">
        <f>[1]Sheet1!B8</f>
        <v>ADD4 5</v>
      </c>
    </row>
    <row r="57" spans="1:7" x14ac:dyDescent="0.25">
      <c r="A57">
        <f>[1]Sheet1!AG9</f>
        <v>0</v>
      </c>
      <c r="B57">
        <f>[1]Sheet1!AH9</f>
        <v>0</v>
      </c>
      <c r="C57">
        <f>[1]Sheet1!AI9</f>
        <v>0</v>
      </c>
      <c r="D57">
        <f>[1]Sheet1!AE9</f>
        <v>0</v>
      </c>
      <c r="E57">
        <f t="shared" si="1"/>
        <v>0</v>
      </c>
      <c r="F57">
        <f>[1]Sheet1!AF9</f>
        <v>0</v>
      </c>
      <c r="G57" t="str">
        <f>[1]Sheet1!B9</f>
        <v>ADD4 7</v>
      </c>
    </row>
    <row r="58" spans="1:7" x14ac:dyDescent="0.25">
      <c r="A58">
        <f>[1]Sheet1!AG10</f>
        <v>0</v>
      </c>
      <c r="B58">
        <f>[1]Sheet1!AH10</f>
        <v>0</v>
      </c>
      <c r="C58">
        <f>[1]Sheet1!AI10</f>
        <v>0</v>
      </c>
      <c r="D58">
        <f>[1]Sheet1!AE10</f>
        <v>0</v>
      </c>
      <c r="E58">
        <f t="shared" si="1"/>
        <v>0</v>
      </c>
      <c r="F58">
        <f>[1]Sheet1!AF10</f>
        <v>0</v>
      </c>
      <c r="G58" t="str">
        <f>[1]Sheet1!B10</f>
        <v>GND</v>
      </c>
    </row>
    <row r="59" spans="1:7" x14ac:dyDescent="0.25">
      <c r="A59">
        <f>[1]Sheet1!AG11</f>
        <v>0</v>
      </c>
      <c r="B59">
        <f>[1]Sheet1!AH11</f>
        <v>0</v>
      </c>
      <c r="C59">
        <f>[1]Sheet1!AI11</f>
        <v>0</v>
      </c>
      <c r="D59">
        <f>[1]Sheet1!AE11</f>
        <v>0</v>
      </c>
      <c r="E59">
        <f t="shared" si="1"/>
        <v>0</v>
      </c>
      <c r="F59">
        <f>[1]Sheet1!AF11</f>
        <v>0</v>
      </c>
      <c r="G59" t="str">
        <f>[1]Sheet1!B11</f>
        <v>ADD3 0</v>
      </c>
    </row>
    <row r="60" spans="1:7" x14ac:dyDescent="0.25">
      <c r="A60">
        <f>[1]Sheet1!AG12</f>
        <v>0</v>
      </c>
      <c r="B60">
        <f>[1]Sheet1!AH12</f>
        <v>0</v>
      </c>
      <c r="C60">
        <f>[1]Sheet1!AI12</f>
        <v>0</v>
      </c>
      <c r="D60">
        <f>[1]Sheet1!AE12</f>
        <v>0</v>
      </c>
      <c r="E60">
        <f t="shared" si="1"/>
        <v>0</v>
      </c>
      <c r="F60">
        <f>[1]Sheet1!AF12</f>
        <v>0</v>
      </c>
      <c r="G60" t="str">
        <f>[1]Sheet1!B12</f>
        <v>ADD3 2</v>
      </c>
    </row>
    <row r="61" spans="1:7" x14ac:dyDescent="0.25">
      <c r="A61">
        <f>[1]Sheet1!AG13</f>
        <v>0</v>
      </c>
      <c r="B61">
        <f>[1]Sheet1!AH13</f>
        <v>0</v>
      </c>
      <c r="C61">
        <f>[1]Sheet1!AI13</f>
        <v>0</v>
      </c>
      <c r="D61">
        <f>[1]Sheet1!AE13</f>
        <v>0</v>
      </c>
      <c r="E61">
        <f t="shared" si="1"/>
        <v>0</v>
      </c>
      <c r="F61">
        <f>[1]Sheet1!AF13</f>
        <v>0</v>
      </c>
      <c r="G61" t="str">
        <f>[1]Sheet1!B13</f>
        <v>ADC/P0</v>
      </c>
    </row>
    <row r="62" spans="1:7" x14ac:dyDescent="0.25">
      <c r="A62">
        <f>[1]Sheet1!AG14</f>
        <v>0</v>
      </c>
      <c r="B62">
        <f>[1]Sheet1!AH14</f>
        <v>0</v>
      </c>
      <c r="C62">
        <f>[1]Sheet1!AI14</f>
        <v>0</v>
      </c>
      <c r="D62">
        <f>[1]Sheet1!AE14</f>
        <v>0</v>
      </c>
      <c r="E62">
        <f t="shared" si="1"/>
        <v>0</v>
      </c>
      <c r="F62">
        <f>[1]Sheet1!AF14</f>
        <v>0</v>
      </c>
      <c r="G62" t="str">
        <f>[1]Sheet1!B14</f>
        <v>ADC/P2</v>
      </c>
    </row>
    <row r="63" spans="1:7" x14ac:dyDescent="0.25">
      <c r="A63">
        <f>[1]Sheet1!AG15</f>
        <v>0</v>
      </c>
      <c r="B63">
        <f>[1]Sheet1!AH15</f>
        <v>0</v>
      </c>
      <c r="C63">
        <f>[1]Sheet1!AI15</f>
        <v>0</v>
      </c>
      <c r="D63">
        <f>[1]Sheet1!AE15</f>
        <v>0</v>
      </c>
      <c r="E63">
        <f t="shared" si="1"/>
        <v>0</v>
      </c>
      <c r="F63">
        <f>[1]Sheet1!AF15</f>
        <v>0</v>
      </c>
      <c r="G63" t="str">
        <f>[1]Sheet1!B15</f>
        <v>DG0/GNDI</v>
      </c>
    </row>
    <row r="64" spans="1:7" x14ac:dyDescent="0.25">
      <c r="A64">
        <f>[1]Sheet1!AG16</f>
        <v>0</v>
      </c>
      <c r="B64">
        <f>[1]Sheet1!AH16</f>
        <v>0</v>
      </c>
      <c r="C64">
        <f>[1]Sheet1!AI16</f>
        <v>0</v>
      </c>
      <c r="D64">
        <f>[1]Sheet1!AE16</f>
        <v>0</v>
      </c>
      <c r="E64">
        <f t="shared" si="1"/>
        <v>0</v>
      </c>
      <c r="F64">
        <f>[1]Sheet1!AF16</f>
        <v>0</v>
      </c>
      <c r="G64" t="str">
        <f>[1]Sheet1!B16</f>
        <v>ADC/P5</v>
      </c>
    </row>
    <row r="65" spans="1:7" x14ac:dyDescent="0.25">
      <c r="A65">
        <f>[1]Sheet1!AG17</f>
        <v>0</v>
      </c>
      <c r="B65">
        <f>[1]Sheet1!AH17</f>
        <v>0</v>
      </c>
      <c r="C65">
        <f>[1]Sheet1!AI17</f>
        <v>0</v>
      </c>
      <c r="D65">
        <f>[1]Sheet1!AE17</f>
        <v>0</v>
      </c>
      <c r="E65">
        <f t="shared" si="1"/>
        <v>0</v>
      </c>
      <c r="F65">
        <f>[1]Sheet1!AF17</f>
        <v>1</v>
      </c>
      <c r="G65" t="str">
        <f>[1]Sheet1!B17</f>
        <v>DG2/STATUS</v>
      </c>
    </row>
    <row r="66" spans="1:7" x14ac:dyDescent="0.25">
      <c r="A66">
        <f>[1]Sheet1!AG18</f>
        <v>0</v>
      </c>
      <c r="B66">
        <f>[1]Sheet1!AH18</f>
        <v>0</v>
      </c>
      <c r="C66">
        <f>[1]Sheet1!AI18</f>
        <v>0</v>
      </c>
      <c r="D66">
        <f>[1]Sheet1!AE18</f>
        <v>0</v>
      </c>
      <c r="E66">
        <f t="shared" si="1"/>
        <v>0</v>
      </c>
      <c r="F66">
        <f>[1]Sheet1!AF18</f>
        <v>0</v>
      </c>
      <c r="G66" t="str">
        <f>[1]Sheet1!B18</f>
        <v>+3VDI</v>
      </c>
    </row>
    <row r="67" spans="1:7" x14ac:dyDescent="0.25">
      <c r="A67">
        <f>[1]Sheet1!AG19</f>
        <v>0</v>
      </c>
      <c r="B67">
        <f>[1]Sheet1!AH19</f>
        <v>0</v>
      </c>
      <c r="C67">
        <f>[1]Sheet1!AI19</f>
        <v>0</v>
      </c>
      <c r="D67">
        <f>[1]Sheet1!AE19</f>
        <v>0</v>
      </c>
      <c r="E67">
        <f t="shared" ref="E67:E105" si="9">A67*30+B67</f>
        <v>0</v>
      </c>
      <c r="F67">
        <f>[1]Sheet1!AF19</f>
        <v>0</v>
      </c>
      <c r="G67" t="str">
        <f>[1]Sheet1!B19</f>
        <v>GNDI</v>
      </c>
    </row>
    <row r="68" spans="1:7" x14ac:dyDescent="0.25">
      <c r="A68">
        <f>[1]Sheet1!AG20</f>
        <v>0</v>
      </c>
      <c r="B68">
        <f>[1]Sheet1!AH20</f>
        <v>0</v>
      </c>
      <c r="C68">
        <f>[1]Sheet1!AI20</f>
        <v>0</v>
      </c>
      <c r="D68">
        <f>[1]Sheet1!AE20</f>
        <v>0</v>
      </c>
      <c r="E68">
        <f t="shared" si="9"/>
        <v>0</v>
      </c>
      <c r="F68">
        <f>[1]Sheet1!AF20</f>
        <v>0</v>
      </c>
      <c r="G68" t="str">
        <f>[1]Sheet1!B20</f>
        <v>ADD1 0</v>
      </c>
    </row>
    <row r="69" spans="1:7" x14ac:dyDescent="0.25">
      <c r="A69">
        <f>[1]Sheet1!AG21</f>
        <v>0</v>
      </c>
      <c r="B69">
        <f>[1]Sheet1!AH21</f>
        <v>0</v>
      </c>
      <c r="C69">
        <f>[1]Sheet1!AI21</f>
        <v>0</v>
      </c>
      <c r="D69">
        <f>[1]Sheet1!AE21</f>
        <v>0</v>
      </c>
      <c r="E69">
        <f t="shared" si="9"/>
        <v>0</v>
      </c>
      <c r="F69">
        <f>[1]Sheet1!AF21</f>
        <v>0</v>
      </c>
      <c r="G69" t="str">
        <f>[1]Sheet1!B21</f>
        <v>GND_IN</v>
      </c>
    </row>
    <row r="70" spans="1:7" x14ac:dyDescent="0.25">
      <c r="A70">
        <f>[1]Sheet1!AG22</f>
        <v>0</v>
      </c>
      <c r="B70">
        <f>[1]Sheet1!AH22</f>
        <v>0</v>
      </c>
      <c r="C70">
        <f>[1]Sheet1!AI22</f>
        <v>0</v>
      </c>
      <c r="D70">
        <f>[1]Sheet1!AE22</f>
        <v>0</v>
      </c>
      <c r="E70">
        <f t="shared" si="9"/>
        <v>0</v>
      </c>
      <c r="F70">
        <f>[1]Sheet1!AF22</f>
        <v>0</v>
      </c>
      <c r="G70" t="str">
        <f>[1]Sheet1!B22</f>
        <v>ADD1 2</v>
      </c>
    </row>
    <row r="71" spans="1:7" x14ac:dyDescent="0.25">
      <c r="A71">
        <f>[1]Sheet1!AG23</f>
        <v>0</v>
      </c>
      <c r="B71">
        <f>[1]Sheet1!AH23</f>
        <v>0</v>
      </c>
      <c r="C71">
        <f>[1]Sheet1!AI23</f>
        <v>0</v>
      </c>
      <c r="D71">
        <f>[1]Sheet1!AE23</f>
        <v>0</v>
      </c>
      <c r="E71">
        <f t="shared" si="9"/>
        <v>0</v>
      </c>
      <c r="F71">
        <f>[1]Sheet1!AF23</f>
        <v>0</v>
      </c>
      <c r="G71" t="str">
        <f>[1]Sheet1!B23</f>
        <v>ADD1 4</v>
      </c>
    </row>
    <row r="72" spans="1:7" x14ac:dyDescent="0.25">
      <c r="A72">
        <f>[1]Sheet1!AG24</f>
        <v>0</v>
      </c>
      <c r="B72">
        <f>[1]Sheet1!AH24</f>
        <v>0</v>
      </c>
      <c r="C72">
        <f>[1]Sheet1!AI24</f>
        <v>0</v>
      </c>
      <c r="D72">
        <f>[1]Sheet1!AE24</f>
        <v>0</v>
      </c>
      <c r="E72">
        <f t="shared" si="9"/>
        <v>0</v>
      </c>
      <c r="F72">
        <f>[1]Sheet1!AF24</f>
        <v>0</v>
      </c>
      <c r="G72" t="str">
        <f>[1]Sheet1!B24</f>
        <v>GND</v>
      </c>
    </row>
    <row r="73" spans="1:7" x14ac:dyDescent="0.25">
      <c r="A73">
        <f>[1]Sheet1!AG25</f>
        <v>0</v>
      </c>
      <c r="B73">
        <f>[1]Sheet1!AH25</f>
        <v>0</v>
      </c>
      <c r="C73">
        <f>[1]Sheet1!AI25</f>
        <v>0</v>
      </c>
      <c r="D73">
        <f>[1]Sheet1!AE25</f>
        <v>0</v>
      </c>
      <c r="E73">
        <f t="shared" si="9"/>
        <v>0</v>
      </c>
      <c r="F73">
        <f>[1]Sheet1!AF25</f>
        <v>0</v>
      </c>
      <c r="G73" t="str">
        <f>[1]Sheet1!B25</f>
        <v>ADD1 7</v>
      </c>
    </row>
    <row r="74" spans="1:7" x14ac:dyDescent="0.25">
      <c r="A74">
        <f>[1]Sheet1!AG26</f>
        <v>0</v>
      </c>
      <c r="B74">
        <f>[1]Sheet1!AH26</f>
        <v>0</v>
      </c>
      <c r="C74">
        <f>[1]Sheet1!AI26</f>
        <v>0</v>
      </c>
      <c r="D74">
        <f>[1]Sheet1!AE26</f>
        <v>0</v>
      </c>
      <c r="E74">
        <f t="shared" si="9"/>
        <v>0</v>
      </c>
      <c r="F74">
        <f>[1]Sheet1!AF26</f>
        <v>0</v>
      </c>
      <c r="G74">
        <f>[1]Sheet1!B26</f>
        <v>0</v>
      </c>
    </row>
    <row r="75" spans="1:7" x14ac:dyDescent="0.25">
      <c r="A75">
        <f>[1]Sheet1!AG27</f>
        <v>0</v>
      </c>
      <c r="B75">
        <f>[1]Sheet1!AH27</f>
        <v>0</v>
      </c>
      <c r="C75">
        <f>[1]Sheet1!AI27</f>
        <v>0</v>
      </c>
      <c r="D75">
        <f>[1]Sheet1!AE27</f>
        <v>0</v>
      </c>
      <c r="E75">
        <f t="shared" si="9"/>
        <v>0</v>
      </c>
      <c r="F75">
        <f>[1]Sheet1!AF27</f>
        <v>0</v>
      </c>
      <c r="G75" t="str">
        <f>[1]Sheet1!B27</f>
        <v>ADD4 0</v>
      </c>
    </row>
    <row r="76" spans="1:7" x14ac:dyDescent="0.25">
      <c r="A76">
        <f>[1]Sheet1!AG28</f>
        <v>0</v>
      </c>
      <c r="B76">
        <f>[1]Sheet1!AH28</f>
        <v>0</v>
      </c>
      <c r="C76">
        <f>[1]Sheet1!AI28</f>
        <v>0</v>
      </c>
      <c r="D76">
        <f>[1]Sheet1!AE28</f>
        <v>0</v>
      </c>
      <c r="E76">
        <f t="shared" si="9"/>
        <v>0</v>
      </c>
      <c r="F76">
        <f>[1]Sheet1!AF28</f>
        <v>0</v>
      </c>
      <c r="G76" t="str">
        <f>[1]Sheet1!B28</f>
        <v>ADD4 2/GND</v>
      </c>
    </row>
    <row r="77" spans="1:7" x14ac:dyDescent="0.25">
      <c r="A77">
        <f>[1]Sheet1!AG29</f>
        <v>0</v>
      </c>
      <c r="B77">
        <f>[1]Sheet1!AH29</f>
        <v>0</v>
      </c>
      <c r="C77">
        <f>[1]Sheet1!AI29</f>
        <v>0</v>
      </c>
      <c r="D77">
        <f>[1]Sheet1!AE29</f>
        <v>0</v>
      </c>
      <c r="E77">
        <f t="shared" si="9"/>
        <v>0</v>
      </c>
      <c r="F77">
        <f>[1]Sheet1!AF29</f>
        <v>0</v>
      </c>
      <c r="G77" t="str">
        <f>[1]Sheet1!B29</f>
        <v>ADD4 4</v>
      </c>
    </row>
    <row r="78" spans="1:7" x14ac:dyDescent="0.25">
      <c r="A78">
        <f>[1]Sheet1!AG30</f>
        <v>0</v>
      </c>
      <c r="B78">
        <f>[1]Sheet1!AH30</f>
        <v>0</v>
      </c>
      <c r="C78">
        <f>[1]Sheet1!AI30</f>
        <v>0</v>
      </c>
      <c r="D78">
        <f>[1]Sheet1!AE30</f>
        <v>0</v>
      </c>
      <c r="E78">
        <f t="shared" si="9"/>
        <v>0</v>
      </c>
      <c r="F78">
        <f>[1]Sheet1!AF30</f>
        <v>0</v>
      </c>
      <c r="G78" t="str">
        <f>[1]Sheet1!B30</f>
        <v>ADD4 6</v>
      </c>
    </row>
    <row r="79" spans="1:7" x14ac:dyDescent="0.25">
      <c r="A79">
        <f>[1]Sheet1!AG31</f>
        <v>0</v>
      </c>
      <c r="B79">
        <f>[1]Sheet1!AH31</f>
        <v>0</v>
      </c>
      <c r="C79">
        <f>[1]Sheet1!AI31</f>
        <v>0</v>
      </c>
      <c r="D79">
        <f>[1]Sheet1!AE31</f>
        <v>0</v>
      </c>
      <c r="E79">
        <f t="shared" si="9"/>
        <v>0</v>
      </c>
      <c r="F79">
        <f>[1]Sheet1!AF31</f>
        <v>0</v>
      </c>
      <c r="G79" t="str">
        <f>[1]Sheet1!B31</f>
        <v>ADD3 1</v>
      </c>
    </row>
    <row r="80" spans="1:7" x14ac:dyDescent="0.25">
      <c r="A80">
        <f>[1]Sheet1!AG32</f>
        <v>0</v>
      </c>
      <c r="B80">
        <f>[1]Sheet1!AH32</f>
        <v>0</v>
      </c>
      <c r="C80">
        <f>[1]Sheet1!AI32</f>
        <v>0</v>
      </c>
      <c r="D80">
        <f>[1]Sheet1!AE32</f>
        <v>0</v>
      </c>
      <c r="E80">
        <f t="shared" si="9"/>
        <v>0</v>
      </c>
      <c r="F80">
        <f>[1]Sheet1!AF32</f>
        <v>0</v>
      </c>
      <c r="G80" t="str">
        <f>[1]Sheet1!B32</f>
        <v>GND</v>
      </c>
    </row>
    <row r="81" spans="1:7" x14ac:dyDescent="0.25">
      <c r="A81">
        <f>[1]Sheet1!AG33</f>
        <v>0</v>
      </c>
      <c r="B81">
        <f>[1]Sheet1!AH33</f>
        <v>0</v>
      </c>
      <c r="C81">
        <f>[1]Sheet1!AI33</f>
        <v>0</v>
      </c>
      <c r="D81">
        <f>[1]Sheet1!AE33</f>
        <v>0</v>
      </c>
      <c r="E81">
        <f t="shared" si="9"/>
        <v>0</v>
      </c>
      <c r="F81">
        <f>[1]Sheet1!AF33</f>
        <v>0</v>
      </c>
      <c r="G81" t="str">
        <f>[1]Sheet1!B33</f>
        <v>ADD3 3</v>
      </c>
    </row>
    <row r="82" spans="1:7" x14ac:dyDescent="0.25">
      <c r="A82">
        <f>[1]Sheet1!AG34</f>
        <v>0</v>
      </c>
      <c r="B82">
        <f>[1]Sheet1!AH34</f>
        <v>0</v>
      </c>
      <c r="C82">
        <f>[1]Sheet1!AI34</f>
        <v>0</v>
      </c>
      <c r="D82">
        <f>[1]Sheet1!AE34</f>
        <v>0</v>
      </c>
      <c r="E82">
        <f t="shared" si="9"/>
        <v>0</v>
      </c>
      <c r="F82">
        <f>[1]Sheet1!AF34</f>
        <v>0</v>
      </c>
      <c r="G82" t="str">
        <f>[1]Sheet1!B34</f>
        <v>ADC/P1</v>
      </c>
    </row>
    <row r="83" spans="1:7" x14ac:dyDescent="0.25">
      <c r="A83">
        <f>[1]Sheet1!AG35</f>
        <v>0</v>
      </c>
      <c r="B83">
        <f>[1]Sheet1!AH35</f>
        <v>0</v>
      </c>
      <c r="C83">
        <f>[1]Sheet1!AI35</f>
        <v>0</v>
      </c>
      <c r="D83">
        <f>[1]Sheet1!AE35</f>
        <v>0</v>
      </c>
      <c r="E83">
        <f t="shared" si="9"/>
        <v>0</v>
      </c>
      <c r="F83">
        <f>[1]Sheet1!AF35</f>
        <v>0</v>
      </c>
      <c r="G83" t="str">
        <f>[1]Sheet1!B35</f>
        <v>ADC/P3</v>
      </c>
    </row>
    <row r="84" spans="1:7" x14ac:dyDescent="0.25">
      <c r="A84">
        <f>[1]Sheet1!AG36</f>
        <v>0</v>
      </c>
      <c r="B84">
        <f>[1]Sheet1!AH36</f>
        <v>0</v>
      </c>
      <c r="C84">
        <f>[1]Sheet1!AI36</f>
        <v>0</v>
      </c>
      <c r="D84">
        <f>[1]Sheet1!AE36</f>
        <v>0</v>
      </c>
      <c r="E84">
        <f t="shared" si="9"/>
        <v>0</v>
      </c>
      <c r="F84">
        <f>[1]Sheet1!AF36</f>
        <v>0</v>
      </c>
      <c r="G84" t="str">
        <f>[1]Sheet1!B36</f>
        <v>ADC/P4</v>
      </c>
    </row>
    <row r="85" spans="1:7" x14ac:dyDescent="0.25">
      <c r="A85">
        <f>[1]Sheet1!AG37</f>
        <v>0</v>
      </c>
      <c r="B85">
        <f>[1]Sheet1!AH37</f>
        <v>0</v>
      </c>
      <c r="C85">
        <f>[1]Sheet1!AI37</f>
        <v>0</v>
      </c>
      <c r="D85">
        <f>[1]Sheet1!AE37</f>
        <v>0</v>
      </c>
      <c r="E85">
        <f t="shared" si="9"/>
        <v>0</v>
      </c>
      <c r="F85">
        <f>[1]Sheet1!AF37</f>
        <v>0</v>
      </c>
      <c r="G85" t="str">
        <f>[1]Sheet1!B37</f>
        <v>ADC/P6</v>
      </c>
    </row>
    <row r="86" spans="1:7" x14ac:dyDescent="0.25">
      <c r="A86">
        <f>[1]Sheet1!AG38</f>
        <v>0</v>
      </c>
      <c r="B86">
        <f>[1]Sheet1!AH38</f>
        <v>0</v>
      </c>
      <c r="C86">
        <f>[1]Sheet1!AI38</f>
        <v>0</v>
      </c>
      <c r="D86">
        <f>[1]Sheet1!AE38</f>
        <v>0</v>
      </c>
      <c r="E86">
        <f t="shared" si="9"/>
        <v>0</v>
      </c>
      <c r="F86">
        <f>[1]Sheet1!AF38</f>
        <v>0</v>
      </c>
      <c r="G86" t="str">
        <f>[1]Sheet1!B38</f>
        <v>DG1/INTERLOCK3 4</v>
      </c>
    </row>
    <row r="87" spans="1:7" x14ac:dyDescent="0.25">
      <c r="A87">
        <f>[1]Sheet1!AG39</f>
        <v>0</v>
      </c>
      <c r="B87">
        <f>[1]Sheet1!AH39</f>
        <v>0</v>
      </c>
      <c r="C87">
        <f>[1]Sheet1!AI39</f>
        <v>0</v>
      </c>
      <c r="D87">
        <f>[1]Sheet1!AE39</f>
        <v>0</v>
      </c>
      <c r="E87">
        <f t="shared" si="9"/>
        <v>0</v>
      </c>
      <c r="F87">
        <f>[1]Sheet1!AF39</f>
        <v>0</v>
      </c>
      <c r="G87" t="str">
        <f>[1]Sheet1!B39</f>
        <v>ON2/DG3</v>
      </c>
    </row>
    <row r="88" spans="1:7" x14ac:dyDescent="0.25">
      <c r="A88">
        <f>[1]Sheet1!AG40</f>
        <v>0</v>
      </c>
      <c r="B88">
        <f>[1]Sheet1!AH40</f>
        <v>0</v>
      </c>
      <c r="C88">
        <f>[1]Sheet1!AI40</f>
        <v>0</v>
      </c>
      <c r="D88">
        <f>[1]Sheet1!AE40</f>
        <v>0</v>
      </c>
      <c r="E88">
        <f t="shared" si="9"/>
        <v>0</v>
      </c>
      <c r="F88">
        <f>[1]Sheet1!AF40</f>
        <v>0</v>
      </c>
      <c r="G88" t="str">
        <f>[1]Sheet1!B40</f>
        <v>PULSE2/DG4</v>
      </c>
    </row>
    <row r="89" spans="1:7" x14ac:dyDescent="0.25">
      <c r="A89">
        <f>[1]Sheet1!AG41</f>
        <v>0</v>
      </c>
      <c r="B89">
        <f>[1]Sheet1!AH41</f>
        <v>0</v>
      </c>
      <c r="C89">
        <f>[1]Sheet1!AI41</f>
        <v>0</v>
      </c>
      <c r="D89">
        <f>[1]Sheet1!AE41</f>
        <v>0</v>
      </c>
      <c r="E89">
        <f t="shared" si="9"/>
        <v>0</v>
      </c>
      <c r="F89">
        <f>[1]Sheet1!AF41</f>
        <v>0</v>
      </c>
      <c r="G89" t="str">
        <f>[1]Sheet1!B41</f>
        <v>ADD1 1</v>
      </c>
    </row>
    <row r="90" spans="1:7" x14ac:dyDescent="0.25">
      <c r="A90">
        <f>[1]Sheet1!AG42</f>
        <v>0</v>
      </c>
      <c r="B90">
        <f>[1]Sheet1!AH42</f>
        <v>0</v>
      </c>
      <c r="C90">
        <f>[1]Sheet1!AI42</f>
        <v>0</v>
      </c>
      <c r="D90">
        <f>[1]Sheet1!AE42</f>
        <v>0</v>
      </c>
      <c r="E90">
        <f t="shared" si="9"/>
        <v>0</v>
      </c>
      <c r="F90">
        <f>[1]Sheet1!AF42</f>
        <v>0</v>
      </c>
      <c r="G90" t="str">
        <f>[1]Sheet1!B42</f>
        <v>+12VI1</v>
      </c>
    </row>
    <row r="91" spans="1:7" x14ac:dyDescent="0.25">
      <c r="A91">
        <f>[1]Sheet1!AG43</f>
        <v>0</v>
      </c>
      <c r="B91">
        <f>[1]Sheet1!AH43</f>
        <v>0</v>
      </c>
      <c r="C91">
        <f>[1]Sheet1!AI43</f>
        <v>0</v>
      </c>
      <c r="D91">
        <f>[1]Sheet1!AE43</f>
        <v>0</v>
      </c>
      <c r="E91">
        <f t="shared" si="9"/>
        <v>0</v>
      </c>
      <c r="F91">
        <f>[1]Sheet1!AF43</f>
        <v>0</v>
      </c>
      <c r="G91" t="str">
        <f>[1]Sheet1!B43</f>
        <v>GND</v>
      </c>
    </row>
    <row r="92" spans="1:7" x14ac:dyDescent="0.25">
      <c r="A92">
        <f>[1]Sheet1!AG44</f>
        <v>0</v>
      </c>
      <c r="B92">
        <f>[1]Sheet1!AH44</f>
        <v>0</v>
      </c>
      <c r="C92">
        <f>[1]Sheet1!AI44</f>
        <v>0</v>
      </c>
      <c r="D92">
        <f>[1]Sheet1!AE44</f>
        <v>0</v>
      </c>
      <c r="E92">
        <f t="shared" si="9"/>
        <v>0</v>
      </c>
      <c r="F92">
        <f>[1]Sheet1!AF44</f>
        <v>0</v>
      </c>
      <c r="G92" t="str">
        <f>[1]Sheet1!B44</f>
        <v>ADD1 3</v>
      </c>
    </row>
    <row r="93" spans="1:7" x14ac:dyDescent="0.25">
      <c r="A93">
        <f>[1]Sheet1!AG45</f>
        <v>0</v>
      </c>
      <c r="B93">
        <f>[1]Sheet1!AH45</f>
        <v>0</v>
      </c>
      <c r="C93">
        <f>[1]Sheet1!AI45</f>
        <v>0</v>
      </c>
      <c r="D93">
        <f>[1]Sheet1!AE45</f>
        <v>0</v>
      </c>
      <c r="E93">
        <f t="shared" si="9"/>
        <v>0</v>
      </c>
      <c r="F93">
        <f>[1]Sheet1!AF45</f>
        <v>0</v>
      </c>
      <c r="G93" t="str">
        <f>[1]Sheet1!B45</f>
        <v>ADD1 5</v>
      </c>
    </row>
    <row r="94" spans="1:7" x14ac:dyDescent="0.25">
      <c r="A94">
        <f>[1]Sheet1!AG46</f>
        <v>0</v>
      </c>
      <c r="B94">
        <f>[1]Sheet1!AH46</f>
        <v>0</v>
      </c>
      <c r="C94">
        <f>[1]Sheet1!AI46</f>
        <v>0</v>
      </c>
      <c r="D94">
        <f>[1]Sheet1!AE46</f>
        <v>0</v>
      </c>
      <c r="E94">
        <f t="shared" si="9"/>
        <v>0</v>
      </c>
      <c r="F94">
        <f>[1]Sheet1!AF46</f>
        <v>0</v>
      </c>
      <c r="G94" t="str">
        <f>[1]Sheet1!B46</f>
        <v>ADD1 6</v>
      </c>
    </row>
    <row r="95" spans="1:7" x14ac:dyDescent="0.25">
      <c r="A95">
        <f>[1]Sheet1!AG47</f>
        <v>0</v>
      </c>
      <c r="B95">
        <f>[1]Sheet1!AH47</f>
        <v>0</v>
      </c>
      <c r="C95">
        <f>[1]Sheet1!AI47</f>
        <v>0</v>
      </c>
      <c r="D95">
        <f>[1]Sheet1!AE47</f>
        <v>0</v>
      </c>
      <c r="E95">
        <f t="shared" si="9"/>
        <v>0</v>
      </c>
      <c r="F95">
        <f>[1]Sheet1!AF47</f>
        <v>0</v>
      </c>
      <c r="G95" t="str">
        <f>[1]Sheet1!B47</f>
        <v>none</v>
      </c>
    </row>
    <row r="96" spans="1:7" x14ac:dyDescent="0.25">
      <c r="A96">
        <f>[1]Sheet1!AG48</f>
        <v>0</v>
      </c>
      <c r="B96">
        <f>[1]Sheet1!AH48</f>
        <v>0</v>
      </c>
      <c r="C96">
        <f>[1]Sheet1!AI48</f>
        <v>0</v>
      </c>
      <c r="D96">
        <f>[1]Sheet1!AE48</f>
        <v>0</v>
      </c>
      <c r="E96">
        <f t="shared" si="9"/>
        <v>0</v>
      </c>
      <c r="F96">
        <f>[1]Sheet1!AF48</f>
        <v>0</v>
      </c>
      <c r="G96" t="str">
        <f>[1]Sheet1!B48</f>
        <v>DG7</v>
      </c>
    </row>
    <row r="97" spans="1:7" x14ac:dyDescent="0.25">
      <c r="A97">
        <f>[1]Sheet1!AG49</f>
        <v>0</v>
      </c>
      <c r="B97">
        <f>[1]Sheet1!AH49</f>
        <v>0</v>
      </c>
      <c r="C97">
        <f>[1]Sheet1!AI49</f>
        <v>0</v>
      </c>
      <c r="D97">
        <f>[1]Sheet1!AE49</f>
        <v>0</v>
      </c>
      <c r="E97">
        <f t="shared" si="9"/>
        <v>0</v>
      </c>
      <c r="F97">
        <f>[1]Sheet1!AF49</f>
        <v>0</v>
      </c>
      <c r="G97" t="str">
        <f>[1]Sheet1!B49</f>
        <v>DG8</v>
      </c>
    </row>
    <row r="98" spans="1:7" x14ac:dyDescent="0.25">
      <c r="A98">
        <f>[1]Sheet1!AG50</f>
        <v>0</v>
      </c>
      <c r="B98">
        <f>[1]Sheet1!AH50</f>
        <v>0</v>
      </c>
      <c r="C98">
        <f>[1]Sheet1!AI50</f>
        <v>0</v>
      </c>
      <c r="D98">
        <f>[1]Sheet1!AE50</f>
        <v>0</v>
      </c>
      <c r="E98">
        <f t="shared" si="9"/>
        <v>0</v>
      </c>
      <c r="F98">
        <f>[1]Sheet1!AF50</f>
        <v>0</v>
      </c>
      <c r="G98" t="str">
        <f>[1]Sheet1!B50</f>
        <v>DG9</v>
      </c>
    </row>
    <row r="99" spans="1:7" x14ac:dyDescent="0.25">
      <c r="A99">
        <f>[1]Sheet1!AG51</f>
        <v>0</v>
      </c>
      <c r="B99">
        <f>[1]Sheet1!AH51</f>
        <v>0</v>
      </c>
      <c r="C99">
        <f>[1]Sheet1!AI51</f>
        <v>0</v>
      </c>
      <c r="D99">
        <f>[1]Sheet1!AE51</f>
        <v>0</v>
      </c>
      <c r="E99">
        <f t="shared" si="9"/>
        <v>0</v>
      </c>
      <c r="F99">
        <f>[1]Sheet1!AF51</f>
        <v>0</v>
      </c>
      <c r="G99" t="str">
        <f>[1]Sheet1!B51</f>
        <v>DG10</v>
      </c>
    </row>
    <row r="100" spans="1:7" x14ac:dyDescent="0.25">
      <c r="A100">
        <f>[1]Sheet1!AG52</f>
        <v>0</v>
      </c>
      <c r="B100">
        <f>[1]Sheet1!AH52</f>
        <v>0</v>
      </c>
      <c r="C100">
        <f>[1]Sheet1!AI52</f>
        <v>0</v>
      </c>
      <c r="D100">
        <f>[1]Sheet1!AE52</f>
        <v>0</v>
      </c>
      <c r="E100">
        <f t="shared" si="9"/>
        <v>0</v>
      </c>
      <c r="F100">
        <f>[1]Sheet1!AF52</f>
        <v>0</v>
      </c>
      <c r="G100" t="str">
        <f>[1]Sheet1!B52</f>
        <v>DG11</v>
      </c>
    </row>
    <row r="101" spans="1:7" x14ac:dyDescent="0.25">
      <c r="A101">
        <f>[1]Sheet1!AG53</f>
        <v>0</v>
      </c>
      <c r="B101">
        <f>[1]Sheet1!AH53</f>
        <v>0</v>
      </c>
      <c r="C101">
        <f>[1]Sheet1!AI53</f>
        <v>0</v>
      </c>
      <c r="D101">
        <f>[1]Sheet1!AE53</f>
        <v>0</v>
      </c>
      <c r="E101">
        <f t="shared" si="9"/>
        <v>0</v>
      </c>
      <c r="F101">
        <f>[1]Sheet1!AF53</f>
        <v>0</v>
      </c>
      <c r="G101" t="str">
        <f>[1]Sheet1!B53</f>
        <v>DG12</v>
      </c>
    </row>
    <row r="102" spans="1:7" x14ac:dyDescent="0.25">
      <c r="A102">
        <f>[1]Sheet1!AG54</f>
        <v>0</v>
      </c>
      <c r="B102">
        <f>[1]Sheet1!AH54</f>
        <v>0</v>
      </c>
      <c r="C102">
        <f>[1]Sheet1!AI54</f>
        <v>0</v>
      </c>
      <c r="D102">
        <f>[1]Sheet1!AE54</f>
        <v>0</v>
      </c>
      <c r="E102">
        <f t="shared" si="9"/>
        <v>0</v>
      </c>
      <c r="F102">
        <f>[1]Sheet1!AF54</f>
        <v>0</v>
      </c>
      <c r="G102" t="str">
        <f>[1]Sheet1!B54</f>
        <v>DG13</v>
      </c>
    </row>
    <row r="103" spans="1:7" x14ac:dyDescent="0.25">
      <c r="A103">
        <f>[1]Sheet1!AG55</f>
        <v>0</v>
      </c>
      <c r="B103">
        <f>[1]Sheet1!AH55</f>
        <v>0</v>
      </c>
      <c r="C103">
        <f>[1]Sheet1!AI55</f>
        <v>0</v>
      </c>
      <c r="D103">
        <f>[1]Sheet1!AE55</f>
        <v>0</v>
      </c>
      <c r="E103">
        <f t="shared" si="9"/>
        <v>0</v>
      </c>
      <c r="F103">
        <f>[1]Sheet1!AF55</f>
        <v>0</v>
      </c>
      <c r="G103" t="str">
        <f>[1]Sheet1!B55</f>
        <v>ADC/P7</v>
      </c>
    </row>
    <row r="104" spans="1:7" x14ac:dyDescent="0.25">
      <c r="A104">
        <f>[1]Sheet1!AG56</f>
        <v>0</v>
      </c>
      <c r="B104">
        <f>[1]Sheet1!AH56</f>
        <v>0</v>
      </c>
      <c r="C104">
        <f>[1]Sheet1!AI56</f>
        <v>0</v>
      </c>
      <c r="D104">
        <f>[1]Sheet1!AE56</f>
        <v>0</v>
      </c>
      <c r="E104">
        <f t="shared" si="9"/>
        <v>0</v>
      </c>
      <c r="F104">
        <f>[1]Sheet1!AF56</f>
        <v>0</v>
      </c>
      <c r="G104" t="str">
        <f>[1]Sheet1!B56</f>
        <v>ADD3 4</v>
      </c>
    </row>
    <row r="105" spans="1:7" x14ac:dyDescent="0.25">
      <c r="A105">
        <f>[1]Sheet1!AG57</f>
        <v>0</v>
      </c>
      <c r="B105">
        <f>[1]Sheet1!AH57</f>
        <v>0</v>
      </c>
      <c r="C105">
        <f>[1]Sheet1!AI57</f>
        <v>0</v>
      </c>
      <c r="D105">
        <f>[1]Sheet1!AE57</f>
        <v>0</v>
      </c>
      <c r="E105">
        <f t="shared" si="9"/>
        <v>0</v>
      </c>
      <c r="F105">
        <f>[1]Sheet1!AF57</f>
        <v>0</v>
      </c>
      <c r="G105" t="str">
        <f>[1]Sheet1!B57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Hribar, Gašper</cp:lastModifiedBy>
  <cp:lastPrinted>2019-01-14T09:55:01Z</cp:lastPrinted>
  <dcterms:created xsi:type="dcterms:W3CDTF">2018-11-07T07:18:23Z</dcterms:created>
  <dcterms:modified xsi:type="dcterms:W3CDTF">2024-03-21T09:09:54Z</dcterms:modified>
</cp:coreProperties>
</file>